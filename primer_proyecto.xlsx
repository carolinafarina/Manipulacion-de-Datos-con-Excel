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\OneDrive\Desktop\proyectos\"/>
    </mc:Choice>
  </mc:AlternateContent>
  <xr:revisionPtr revIDLastSave="0" documentId="8_{64F9F9B6-612C-48FF-A2BE-ABF27D3029FD}" xr6:coauthVersionLast="47" xr6:coauthVersionMax="47" xr10:uidLastSave="{00000000-0000-0000-0000-000000000000}"/>
  <bookViews>
    <workbookView xWindow="28680" yWindow="-120" windowWidth="29040" windowHeight="15720" activeTab="2" xr2:uid="{65B2B1F8-2F3A-456E-BABB-92E2B7640B34}"/>
  </bookViews>
  <sheets>
    <sheet name="produts" sheetId="1" r:id="rId1"/>
    <sheet name="client" sheetId="10" r:id="rId2"/>
    <sheet name="sales" sheetId="9" r:id="rId3"/>
    <sheet name="report" sheetId="8" r:id="rId4"/>
    <sheet name="graphics" sheetId="11" r:id="rId5"/>
  </sheets>
  <definedNames>
    <definedName name="_xlnm._FilterDatabase" localSheetId="0" hidden="1">produts!$A$1:$D$122</definedName>
    <definedName name="_xlchart.v1.0" hidden="1">sales!$B$1</definedName>
    <definedName name="_xlchart.v1.1" hidden="1">sales!$B$2:$B$122</definedName>
    <definedName name="_xlchart.v1.10" hidden="1">report!$E$14:$E$29</definedName>
    <definedName name="_xlchart.v1.11" hidden="1">report!$F$13</definedName>
    <definedName name="_xlchart.v1.12" hidden="1">report!$F$14:$F$29</definedName>
    <definedName name="_xlchart.v1.13" hidden="1">report!$D$14:$D$30</definedName>
    <definedName name="_xlchart.v1.14" hidden="1">report!$E$13</definedName>
    <definedName name="_xlchart.v1.15" hidden="1">report!$E$14:$E$30</definedName>
    <definedName name="_xlchart.v1.16" hidden="1">report!$D$14:$D$30</definedName>
    <definedName name="_xlchart.v1.17" hidden="1">report!$E$13</definedName>
    <definedName name="_xlchart.v1.18" hidden="1">report!$E$14:$E$30</definedName>
    <definedName name="_xlchart.v1.19" hidden="1">graphics!$C$6:$C$28</definedName>
    <definedName name="_xlchart.v1.2" hidden="1">sales!$C$1</definedName>
    <definedName name="_xlchart.v1.20" hidden="1">graphics!$D$5</definedName>
    <definedName name="_xlchart.v1.21" hidden="1">graphics!$D$6:$D$28</definedName>
    <definedName name="_xlchart.v1.22" hidden="1">graphics!$E$5</definedName>
    <definedName name="_xlchart.v1.23" hidden="1">graphics!$E$6:$E$28</definedName>
    <definedName name="_xlchart.v1.24" hidden="1">graphics!$F$5</definedName>
    <definedName name="_xlchart.v1.25" hidden="1">graphics!$F$6:$F$28</definedName>
    <definedName name="_xlchart.v1.26" hidden="1">graphics!$G$5</definedName>
    <definedName name="_xlchart.v1.27" hidden="1">graphics!$G$6:$G$28</definedName>
    <definedName name="_xlchart.v1.28" hidden="1">graphics!$H$5</definedName>
    <definedName name="_xlchart.v1.29" hidden="1">graphics!$H$6:$H$28</definedName>
    <definedName name="_xlchart.v1.3" hidden="1">sales!$C$2:$C$122</definedName>
    <definedName name="_xlchart.v1.30" hidden="1">graphics!$I$5</definedName>
    <definedName name="_xlchart.v1.31" hidden="1">graphics!$I$6:$I$28</definedName>
    <definedName name="_xlchart.v1.32" hidden="1">graphics!$J$5</definedName>
    <definedName name="_xlchart.v1.33" hidden="1">graphics!$J$6:$J$28</definedName>
    <definedName name="_xlchart.v1.34" hidden="1">graphics!$K$5</definedName>
    <definedName name="_xlchart.v1.35" hidden="1">graphics!$K$6:$K$28</definedName>
    <definedName name="_xlchart.v1.36" hidden="1">report!$D$14:$D$30</definedName>
    <definedName name="_xlchart.v1.37" hidden="1">report!$E$13</definedName>
    <definedName name="_xlchart.v1.38" hidden="1">report!$E$14:$E$30</definedName>
    <definedName name="_xlchart.v1.4" hidden="1">sales!$B$1</definedName>
    <definedName name="_xlchart.v1.5" hidden="1">sales!$B$2:$B$122</definedName>
    <definedName name="_xlchart.v1.6" hidden="1">sales!$C$1</definedName>
    <definedName name="_xlchart.v1.7" hidden="1">sales!$C$2:$C$122</definedName>
    <definedName name="_xlchart.v1.8" hidden="1">report!$D$14:$D$29</definedName>
    <definedName name="_xlchart.v1.9" hidden="1">report!$E$13</definedName>
    <definedName name="_xlnm.Print_Area" localSheetId="0">produts!$A$1:$D$121</definedName>
    <definedName name="_xlnm.Print_Titles" localSheetId="0">produts!$1:$1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1" i="9" l="1"/>
  <c r="E121" i="9"/>
  <c r="K121" i="9" s="1"/>
  <c r="F120" i="9"/>
  <c r="E120" i="9"/>
  <c r="K120" i="9" s="1"/>
  <c r="F119" i="9"/>
  <c r="E119" i="9"/>
  <c r="K119" i="9" s="1"/>
  <c r="F118" i="9"/>
  <c r="E118" i="9"/>
  <c r="K118" i="9" s="1"/>
  <c r="F117" i="9"/>
  <c r="E117" i="9"/>
  <c r="K117" i="9" s="1"/>
  <c r="F116" i="9"/>
  <c r="E116" i="9"/>
  <c r="K116" i="9" s="1"/>
  <c r="F115" i="9"/>
  <c r="E115" i="9"/>
  <c r="F114" i="9"/>
  <c r="E114" i="9"/>
  <c r="K114" i="9" s="1"/>
  <c r="F113" i="9"/>
  <c r="E113" i="9"/>
  <c r="F112" i="9"/>
  <c r="E112" i="9"/>
  <c r="K112" i="9" s="1"/>
  <c r="F111" i="9"/>
  <c r="E111" i="9"/>
  <c r="K111" i="9" s="1"/>
  <c r="F110" i="9"/>
  <c r="E110" i="9"/>
  <c r="K110" i="9" s="1"/>
  <c r="F109" i="9"/>
  <c r="E109" i="9"/>
  <c r="K109" i="9" s="1"/>
  <c r="F108" i="9"/>
  <c r="E108" i="9"/>
  <c r="K108" i="9" s="1"/>
  <c r="F107" i="9"/>
  <c r="E107" i="9"/>
  <c r="K107" i="9" s="1"/>
  <c r="F106" i="9"/>
  <c r="E106" i="9"/>
  <c r="K106" i="9" s="1"/>
  <c r="F105" i="9"/>
  <c r="E105" i="9"/>
  <c r="K105" i="9" s="1"/>
  <c r="F104" i="9"/>
  <c r="E104" i="9"/>
  <c r="K104" i="9" s="1"/>
  <c r="F103" i="9"/>
  <c r="E103" i="9"/>
  <c r="K103" i="9" s="1"/>
  <c r="F102" i="9"/>
  <c r="E102" i="9"/>
  <c r="K102" i="9" s="1"/>
  <c r="F101" i="9"/>
  <c r="E101" i="9"/>
  <c r="K101" i="9" s="1"/>
  <c r="F100" i="9"/>
  <c r="E100" i="9"/>
  <c r="K100" i="9" s="1"/>
  <c r="F99" i="9"/>
  <c r="E99" i="9"/>
  <c r="K99" i="9" s="1"/>
  <c r="F98" i="9"/>
  <c r="E98" i="9"/>
  <c r="K98" i="9" s="1"/>
  <c r="F97" i="9"/>
  <c r="E97" i="9"/>
  <c r="I97" i="9" s="1"/>
  <c r="J97" i="9" s="1"/>
  <c r="F96" i="9"/>
  <c r="E96" i="9"/>
  <c r="K96" i="9" s="1"/>
  <c r="F95" i="9"/>
  <c r="E95" i="9"/>
  <c r="K95" i="9" s="1"/>
  <c r="F94" i="9"/>
  <c r="E94" i="9"/>
  <c r="K94" i="9" s="1"/>
  <c r="F93" i="9"/>
  <c r="E93" i="9"/>
  <c r="K93" i="9" s="1"/>
  <c r="F92" i="9"/>
  <c r="E92" i="9"/>
  <c r="K92" i="9" s="1"/>
  <c r="F91" i="9"/>
  <c r="E91" i="9"/>
  <c r="F90" i="9"/>
  <c r="E90" i="9"/>
  <c r="K90" i="9" s="1"/>
  <c r="F89" i="9"/>
  <c r="E89" i="9"/>
  <c r="K89" i="9" s="1"/>
  <c r="F88" i="9"/>
  <c r="E88" i="9"/>
  <c r="K88" i="9" s="1"/>
  <c r="F87" i="9"/>
  <c r="E87" i="9"/>
  <c r="K87" i="9" s="1"/>
  <c r="F86" i="9"/>
  <c r="E86" i="9"/>
  <c r="K86" i="9" s="1"/>
  <c r="F85" i="9"/>
  <c r="E85" i="9"/>
  <c r="K85" i="9" s="1"/>
  <c r="F84" i="9"/>
  <c r="E84" i="9"/>
  <c r="K84" i="9" s="1"/>
  <c r="F83" i="9"/>
  <c r="E83" i="9"/>
  <c r="K83" i="9" s="1"/>
  <c r="F82" i="9"/>
  <c r="E82" i="9"/>
  <c r="K82" i="9" s="1"/>
  <c r="F81" i="9"/>
  <c r="E81" i="9"/>
  <c r="K81" i="9" s="1"/>
  <c r="F80" i="9"/>
  <c r="E80" i="9"/>
  <c r="K80" i="9" s="1"/>
  <c r="F79" i="9"/>
  <c r="E79" i="9"/>
  <c r="K79" i="9" s="1"/>
  <c r="F78" i="9"/>
  <c r="E78" i="9"/>
  <c r="F77" i="9"/>
  <c r="E77" i="9"/>
  <c r="K77" i="9" s="1"/>
  <c r="F76" i="9"/>
  <c r="E76" i="9"/>
  <c r="K76" i="9" s="1"/>
  <c r="F75" i="9"/>
  <c r="E75" i="9"/>
  <c r="K75" i="9" s="1"/>
  <c r="F74" i="9"/>
  <c r="E74" i="9"/>
  <c r="K74" i="9" s="1"/>
  <c r="F73" i="9"/>
  <c r="E73" i="9"/>
  <c r="K73" i="9" s="1"/>
  <c r="F72" i="9"/>
  <c r="E72" i="9"/>
  <c r="K72" i="9" s="1"/>
  <c r="F71" i="9"/>
  <c r="E71" i="9"/>
  <c r="K71" i="9" s="1"/>
  <c r="F70" i="9"/>
  <c r="E70" i="9"/>
  <c r="K70" i="9" s="1"/>
  <c r="F69" i="9"/>
  <c r="E69" i="9"/>
  <c r="K69" i="9" s="1"/>
  <c r="F68" i="9"/>
  <c r="E68" i="9"/>
  <c r="K68" i="9" s="1"/>
  <c r="F67" i="9"/>
  <c r="E67" i="9"/>
  <c r="K67" i="9" s="1"/>
  <c r="F66" i="9"/>
  <c r="E66" i="9"/>
  <c r="K66" i="9" s="1"/>
  <c r="F65" i="9"/>
  <c r="E65" i="9"/>
  <c r="K65" i="9" s="1"/>
  <c r="K64" i="9"/>
  <c r="F64" i="9"/>
  <c r="E64" i="9"/>
  <c r="K63" i="9"/>
  <c r="F63" i="9"/>
  <c r="E63" i="9"/>
  <c r="K62" i="9"/>
  <c r="F62" i="9"/>
  <c r="E62" i="9"/>
  <c r="K61" i="9"/>
  <c r="F61" i="9"/>
  <c r="E61" i="9"/>
  <c r="K60" i="9"/>
  <c r="F60" i="9"/>
  <c r="E60" i="9"/>
  <c r="K59" i="9"/>
  <c r="F59" i="9"/>
  <c r="E59" i="9"/>
  <c r="K58" i="9"/>
  <c r="F58" i="9"/>
  <c r="E58" i="9"/>
  <c r="K57" i="9"/>
  <c r="F57" i="9"/>
  <c r="E57" i="9"/>
  <c r="I57" i="9" s="1"/>
  <c r="J57" i="9" s="1"/>
  <c r="K56" i="9"/>
  <c r="F56" i="9"/>
  <c r="E56" i="9"/>
  <c r="K55" i="9"/>
  <c r="F55" i="9"/>
  <c r="E55" i="9"/>
  <c r="K54" i="9"/>
  <c r="F54" i="9"/>
  <c r="E54" i="9"/>
  <c r="K53" i="9"/>
  <c r="F53" i="9"/>
  <c r="E53" i="9"/>
  <c r="K52" i="9"/>
  <c r="F52" i="9"/>
  <c r="E52" i="9"/>
  <c r="K51" i="9"/>
  <c r="F51" i="9"/>
  <c r="E51" i="9"/>
  <c r="K50" i="9"/>
  <c r="F50" i="9"/>
  <c r="E50" i="9"/>
  <c r="K49" i="9"/>
  <c r="F49" i="9"/>
  <c r="E49" i="9"/>
  <c r="I49" i="9" s="1"/>
  <c r="J49" i="9" s="1"/>
  <c r="K48" i="9"/>
  <c r="F48" i="9"/>
  <c r="E48" i="9"/>
  <c r="K47" i="9"/>
  <c r="F47" i="9"/>
  <c r="E47" i="9"/>
  <c r="K46" i="9"/>
  <c r="F46" i="9"/>
  <c r="E46" i="9"/>
  <c r="K45" i="9"/>
  <c r="F45" i="9"/>
  <c r="E45" i="9"/>
  <c r="K44" i="9"/>
  <c r="F44" i="9"/>
  <c r="E44" i="9"/>
  <c r="K43" i="9"/>
  <c r="F43" i="9"/>
  <c r="E43" i="9"/>
  <c r="K42" i="9"/>
  <c r="F42" i="9"/>
  <c r="E42" i="9"/>
  <c r="K41" i="9"/>
  <c r="F41" i="9"/>
  <c r="E41" i="9"/>
  <c r="K40" i="9"/>
  <c r="F40" i="9"/>
  <c r="E40" i="9"/>
  <c r="K39" i="9"/>
  <c r="F39" i="9"/>
  <c r="E39" i="9"/>
  <c r="K38" i="9"/>
  <c r="F38" i="9"/>
  <c r="E38" i="9"/>
  <c r="K37" i="9"/>
  <c r="F37" i="9"/>
  <c r="E37" i="9"/>
  <c r="K36" i="9"/>
  <c r="F36" i="9"/>
  <c r="E36" i="9"/>
  <c r="K35" i="9"/>
  <c r="F35" i="9"/>
  <c r="E35" i="9"/>
  <c r="K34" i="9"/>
  <c r="F34" i="9"/>
  <c r="E34" i="9"/>
  <c r="K33" i="9"/>
  <c r="F33" i="9"/>
  <c r="E33" i="9"/>
  <c r="I33" i="9" s="1"/>
  <c r="J33" i="9" s="1"/>
  <c r="K32" i="9"/>
  <c r="F32" i="9"/>
  <c r="E32" i="9"/>
  <c r="K31" i="9"/>
  <c r="F31" i="9"/>
  <c r="E31" i="9"/>
  <c r="K30" i="9"/>
  <c r="F30" i="9"/>
  <c r="E30" i="9"/>
  <c r="K29" i="9"/>
  <c r="F29" i="9"/>
  <c r="E29" i="9"/>
  <c r="K28" i="9"/>
  <c r="F28" i="9"/>
  <c r="E28" i="9"/>
  <c r="K27" i="9"/>
  <c r="F27" i="9"/>
  <c r="E27" i="9"/>
  <c r="K26" i="9"/>
  <c r="F26" i="9"/>
  <c r="E26" i="9"/>
  <c r="K25" i="9"/>
  <c r="F25" i="9"/>
  <c r="E25" i="9"/>
  <c r="I25" i="9" s="1"/>
  <c r="J25" i="9" s="1"/>
  <c r="K24" i="9"/>
  <c r="F24" i="9"/>
  <c r="E24" i="9"/>
  <c r="K23" i="9"/>
  <c r="F23" i="9"/>
  <c r="E23" i="9"/>
  <c r="K22" i="9"/>
  <c r="F22" i="9"/>
  <c r="E22" i="9"/>
  <c r="K21" i="9"/>
  <c r="F21" i="9"/>
  <c r="E21" i="9"/>
  <c r="K20" i="9"/>
  <c r="F20" i="9"/>
  <c r="E20" i="9"/>
  <c r="K19" i="9"/>
  <c r="F19" i="9"/>
  <c r="E19" i="9"/>
  <c r="K18" i="9"/>
  <c r="F18" i="9"/>
  <c r="E18" i="9"/>
  <c r="I18" i="9" s="1"/>
  <c r="J18" i="9" s="1"/>
  <c r="K17" i="9"/>
  <c r="F17" i="9"/>
  <c r="E17" i="9"/>
  <c r="I17" i="9" s="1"/>
  <c r="J17" i="9" s="1"/>
  <c r="K16" i="9"/>
  <c r="F16" i="9"/>
  <c r="E16" i="9"/>
  <c r="K15" i="9"/>
  <c r="F15" i="9"/>
  <c r="E15" i="9"/>
  <c r="K14" i="9"/>
  <c r="F14" i="9"/>
  <c r="E14" i="9"/>
  <c r="K13" i="9"/>
  <c r="F13" i="9"/>
  <c r="E13" i="9"/>
  <c r="K12" i="9"/>
  <c r="F12" i="9"/>
  <c r="E12" i="9"/>
  <c r="K11" i="9"/>
  <c r="F11" i="9"/>
  <c r="E11" i="9"/>
  <c r="K10" i="9"/>
  <c r="F10" i="9"/>
  <c r="E10" i="9"/>
  <c r="K9" i="9"/>
  <c r="F9" i="9"/>
  <c r="E9" i="9"/>
  <c r="K8" i="9"/>
  <c r="F8" i="9"/>
  <c r="E8" i="9"/>
  <c r="K7" i="9"/>
  <c r="F7" i="9"/>
  <c r="E7" i="9"/>
  <c r="K6" i="9"/>
  <c r="F6" i="9"/>
  <c r="E6" i="9"/>
  <c r="K5" i="9"/>
  <c r="F5" i="9"/>
  <c r="E5" i="9"/>
  <c r="K4" i="9"/>
  <c r="F4" i="9"/>
  <c r="E4" i="9"/>
  <c r="K3" i="9"/>
  <c r="F3" i="9"/>
  <c r="E3" i="9"/>
  <c r="K2" i="9"/>
  <c r="F2" i="9"/>
  <c r="E2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I19" i="9" l="1"/>
  <c r="J19" i="9" s="1"/>
  <c r="I27" i="9"/>
  <c r="J27" i="9" s="1"/>
  <c r="I35" i="9"/>
  <c r="J35" i="9" s="1"/>
  <c r="I43" i="9"/>
  <c r="J43" i="9" s="1"/>
  <c r="I37" i="9"/>
  <c r="J37" i="9" s="1"/>
  <c r="I75" i="9"/>
  <c r="J75" i="9" s="1"/>
  <c r="I62" i="9"/>
  <c r="J62" i="9" s="1"/>
  <c r="I55" i="9"/>
  <c r="J55" i="9" s="1"/>
  <c r="I65" i="9"/>
  <c r="J65" i="9" s="1"/>
  <c r="I22" i="9"/>
  <c r="J22" i="9" s="1"/>
  <c r="I8" i="9"/>
  <c r="J8" i="9" s="1"/>
  <c r="I45" i="9"/>
  <c r="J45" i="9" s="1"/>
  <c r="I53" i="9"/>
  <c r="J53" i="9" s="1"/>
  <c r="I61" i="9"/>
  <c r="J61" i="9" s="1"/>
  <c r="I78" i="9"/>
  <c r="J78" i="9" s="1"/>
  <c r="I64" i="9"/>
  <c r="J64" i="9" s="1"/>
  <c r="I115" i="9"/>
  <c r="J115" i="9" s="1"/>
  <c r="I99" i="9"/>
  <c r="J99" i="9" s="1"/>
  <c r="I113" i="9"/>
  <c r="J113" i="9" s="1"/>
  <c r="I16" i="9"/>
  <c r="J16" i="9" s="1"/>
  <c r="I21" i="9"/>
  <c r="J21" i="9" s="1"/>
  <c r="I24" i="9"/>
  <c r="J24" i="9" s="1"/>
  <c r="I32" i="9"/>
  <c r="J32" i="9" s="1"/>
  <c r="I107" i="9"/>
  <c r="J107" i="9" s="1"/>
  <c r="I40" i="9"/>
  <c r="J40" i="9" s="1"/>
  <c r="I93" i="9"/>
  <c r="J93" i="9" s="1"/>
  <c r="I104" i="9"/>
  <c r="J104" i="9" s="1"/>
  <c r="K115" i="9"/>
  <c r="I11" i="9"/>
  <c r="J11" i="9" s="1"/>
  <c r="I38" i="9"/>
  <c r="J38" i="9" s="1"/>
  <c r="I51" i="9"/>
  <c r="J51" i="9" s="1"/>
  <c r="I59" i="9"/>
  <c r="J59" i="9" s="1"/>
  <c r="K97" i="9"/>
  <c r="I41" i="9"/>
  <c r="J41" i="9" s="1"/>
  <c r="I7" i="9"/>
  <c r="J7" i="9" s="1"/>
  <c r="I44" i="9"/>
  <c r="J44" i="9" s="1"/>
  <c r="I117" i="9"/>
  <c r="J117" i="9" s="1"/>
  <c r="I3" i="9"/>
  <c r="J3" i="9" s="1"/>
  <c r="I86" i="9"/>
  <c r="J86" i="9" s="1"/>
  <c r="K113" i="9"/>
  <c r="I29" i="9"/>
  <c r="J29" i="9" s="1"/>
  <c r="I6" i="9"/>
  <c r="J6" i="9" s="1"/>
  <c r="I14" i="9"/>
  <c r="J14" i="9" s="1"/>
  <c r="I30" i="9"/>
  <c r="J30" i="9" s="1"/>
  <c r="I48" i="9"/>
  <c r="J48" i="9" s="1"/>
  <c r="I56" i="9"/>
  <c r="J56" i="9" s="1"/>
  <c r="I72" i="9"/>
  <c r="J72" i="9" s="1"/>
  <c r="I77" i="9"/>
  <c r="J77" i="9" s="1"/>
  <c r="I80" i="9"/>
  <c r="J80" i="9" s="1"/>
  <c r="I13" i="9"/>
  <c r="J13" i="9" s="1"/>
  <c r="I9" i="9"/>
  <c r="J9" i="9" s="1"/>
  <c r="I12" i="9"/>
  <c r="J12" i="9" s="1"/>
  <c r="I46" i="9"/>
  <c r="J46" i="9" s="1"/>
  <c r="I54" i="9"/>
  <c r="J54" i="9" s="1"/>
  <c r="I91" i="9"/>
  <c r="J91" i="9" s="1"/>
  <c r="I73" i="9"/>
  <c r="J73" i="9" s="1"/>
  <c r="K78" i="9"/>
  <c r="I102" i="9"/>
  <c r="J102" i="9" s="1"/>
  <c r="I121" i="9"/>
  <c r="J121" i="9" s="1"/>
  <c r="I10" i="9"/>
  <c r="J10" i="9" s="1"/>
  <c r="I20" i="9"/>
  <c r="J20" i="9" s="1"/>
  <c r="I42" i="9"/>
  <c r="J42" i="9" s="1"/>
  <c r="I85" i="9"/>
  <c r="J85" i="9" s="1"/>
  <c r="K91" i="9"/>
  <c r="I94" i="9"/>
  <c r="J94" i="9" s="1"/>
  <c r="I63" i="9"/>
  <c r="J63" i="9" s="1"/>
  <c r="I69" i="9"/>
  <c r="J69" i="9" s="1"/>
  <c r="I120" i="9"/>
  <c r="J120" i="9" s="1"/>
  <c r="I26" i="9"/>
  <c r="J26" i="9" s="1"/>
  <c r="I28" i="9"/>
  <c r="J28" i="9" s="1"/>
  <c r="I34" i="9"/>
  <c r="J34" i="9" s="1"/>
  <c r="I36" i="9"/>
  <c r="J36" i="9" s="1"/>
  <c r="I67" i="9"/>
  <c r="J67" i="9" s="1"/>
  <c r="I89" i="9"/>
  <c r="J89" i="9" s="1"/>
  <c r="I96" i="9"/>
  <c r="J96" i="9" s="1"/>
  <c r="I109" i="9"/>
  <c r="J109" i="9" s="1"/>
  <c r="I118" i="9"/>
  <c r="J118" i="9" s="1"/>
  <c r="I50" i="9"/>
  <c r="J50" i="9" s="1"/>
  <c r="I52" i="9"/>
  <c r="J52" i="9" s="1"/>
  <c r="I70" i="9"/>
  <c r="J70" i="9" s="1"/>
  <c r="I83" i="9"/>
  <c r="J83" i="9" s="1"/>
  <c r="I105" i="9"/>
  <c r="J105" i="9" s="1"/>
  <c r="I112" i="9"/>
  <c r="J112" i="9" s="1"/>
  <c r="I2" i="9"/>
  <c r="J2" i="9" s="1"/>
  <c r="I4" i="9"/>
  <c r="J4" i="9" s="1"/>
  <c r="I31" i="9"/>
  <c r="J31" i="9" s="1"/>
  <c r="I58" i="9"/>
  <c r="J58" i="9" s="1"/>
  <c r="I60" i="9"/>
  <c r="J60" i="9" s="1"/>
  <c r="I81" i="9"/>
  <c r="J81" i="9" s="1"/>
  <c r="I88" i="9"/>
  <c r="J88" i="9" s="1"/>
  <c r="I101" i="9"/>
  <c r="J101" i="9" s="1"/>
  <c r="I110" i="9"/>
  <c r="J110" i="9" s="1"/>
  <c r="I23" i="9"/>
  <c r="J23" i="9" s="1"/>
  <c r="I39" i="9"/>
  <c r="J39" i="9" s="1"/>
  <c r="I5" i="9"/>
  <c r="J5" i="9" s="1"/>
  <c r="I15" i="9"/>
  <c r="J15" i="9" s="1"/>
  <c r="I47" i="9"/>
  <c r="J47" i="9" s="1"/>
  <c r="I74" i="9"/>
  <c r="J74" i="9" s="1"/>
  <c r="I82" i="9"/>
  <c r="J82" i="9" s="1"/>
  <c r="I90" i="9"/>
  <c r="J90" i="9" s="1"/>
  <c r="I98" i="9"/>
  <c r="J98" i="9" s="1"/>
  <c r="I71" i="9"/>
  <c r="J71" i="9" s="1"/>
  <c r="I79" i="9"/>
  <c r="J79" i="9" s="1"/>
  <c r="I87" i="9"/>
  <c r="J87" i="9" s="1"/>
  <c r="I95" i="9"/>
  <c r="J95" i="9" s="1"/>
  <c r="I103" i="9"/>
  <c r="J103" i="9" s="1"/>
  <c r="I111" i="9"/>
  <c r="J111" i="9" s="1"/>
  <c r="I119" i="9"/>
  <c r="J119" i="9" s="1"/>
  <c r="I66" i="9"/>
  <c r="J66" i="9" s="1"/>
  <c r="I106" i="9"/>
  <c r="J106" i="9" s="1"/>
  <c r="I114" i="9"/>
  <c r="J114" i="9" s="1"/>
  <c r="I68" i="9"/>
  <c r="J68" i="9" s="1"/>
  <c r="I76" i="9"/>
  <c r="J76" i="9" s="1"/>
  <c r="I84" i="9"/>
  <c r="J84" i="9" s="1"/>
  <c r="I92" i="9"/>
  <c r="J92" i="9" s="1"/>
  <c r="I100" i="9"/>
  <c r="J100" i="9" s="1"/>
  <c r="I108" i="9"/>
  <c r="J108" i="9" s="1"/>
  <c r="I116" i="9"/>
  <c r="J116" i="9" s="1"/>
</calcChain>
</file>

<file path=xl/sharedStrings.xml><?xml version="1.0" encoding="utf-8"?>
<sst xmlns="http://schemas.openxmlformats.org/spreadsheetml/2006/main" count="776" uniqueCount="76">
  <si>
    <t>coca-cola</t>
  </si>
  <si>
    <t>Fanta</t>
  </si>
  <si>
    <t>Sprite</t>
  </si>
  <si>
    <t>inca cola</t>
  </si>
  <si>
    <t>individual</t>
  </si>
  <si>
    <t>Natalia</t>
  </si>
  <si>
    <t>Pia</t>
  </si>
  <si>
    <t>Lila</t>
  </si>
  <si>
    <t>Don dani</t>
  </si>
  <si>
    <t>Plutos</t>
  </si>
  <si>
    <t>Chencho</t>
  </si>
  <si>
    <t>Jumbo</t>
  </si>
  <si>
    <t>Unimarc</t>
  </si>
  <si>
    <t xml:space="preserve"> Santutu</t>
  </si>
  <si>
    <t>Carrascos ltda</t>
  </si>
  <si>
    <t>Moda´s</t>
  </si>
  <si>
    <t xml:space="preserve">Lider </t>
  </si>
  <si>
    <t xml:space="preserve">Jumbo </t>
  </si>
  <si>
    <t>jumbo</t>
  </si>
  <si>
    <t>paris</t>
  </si>
  <si>
    <t>ripley</t>
  </si>
  <si>
    <t>falabella</t>
  </si>
  <si>
    <t>amazon</t>
  </si>
  <si>
    <t>bold</t>
  </si>
  <si>
    <t>aldi</t>
  </si>
  <si>
    <t>walmart</t>
  </si>
  <si>
    <t xml:space="preserve">aldi </t>
  </si>
  <si>
    <t>belsport</t>
  </si>
  <si>
    <t>Chocolate</t>
  </si>
  <si>
    <t>MessiCo</t>
  </si>
  <si>
    <t>Sanchez</t>
  </si>
  <si>
    <t>Haaland</t>
  </si>
  <si>
    <t>Benzema</t>
  </si>
  <si>
    <t>Bravo</t>
  </si>
  <si>
    <t>Xavi</t>
  </si>
  <si>
    <t>Messi</t>
  </si>
  <si>
    <t>id_sales</t>
  </si>
  <si>
    <t>id_customers</t>
  </si>
  <si>
    <t>id_products</t>
  </si>
  <si>
    <t>Product</t>
  </si>
  <si>
    <t>Measurement</t>
  </si>
  <si>
    <t>Product Category</t>
  </si>
  <si>
    <t>meat</t>
  </si>
  <si>
    <t>drinks</t>
  </si>
  <si>
    <t>vegetables</t>
  </si>
  <si>
    <t>fruit</t>
  </si>
  <si>
    <t>candies</t>
  </si>
  <si>
    <t>weigth (kg)</t>
  </si>
  <si>
    <t>units (bottles)</t>
  </si>
  <si>
    <t>strawberry</t>
  </si>
  <si>
    <t>apple</t>
  </si>
  <si>
    <t>cabbage</t>
  </si>
  <si>
    <t>pumpkin</t>
  </si>
  <si>
    <t>carrot</t>
  </si>
  <si>
    <t>lettuce</t>
  </si>
  <si>
    <t>cauliflower</t>
  </si>
  <si>
    <t>hot-dog</t>
  </si>
  <si>
    <t>beef steak</t>
  </si>
  <si>
    <t>smooth spine</t>
  </si>
  <si>
    <t>nougat</t>
  </si>
  <si>
    <t>commercial</t>
  </si>
  <si>
    <t>corporate</t>
  </si>
  <si>
    <t>international</t>
  </si>
  <si>
    <t>wholesalers</t>
  </si>
  <si>
    <t>Client Category</t>
  </si>
  <si>
    <t>Client Name</t>
  </si>
  <si>
    <t>Seller</t>
  </si>
  <si>
    <t>Quantity sold</t>
  </si>
  <si>
    <t>Selling Price Per Unit($)</t>
  </si>
  <si>
    <t>total sale x item</t>
  </si>
  <si>
    <t>Purchase price per unit</t>
  </si>
  <si>
    <t>% Off</t>
  </si>
  <si>
    <t>Total Purchase Price</t>
  </si>
  <si>
    <t>Profit Margin</t>
  </si>
  <si>
    <t>Profit Output (%)</t>
  </si>
  <si>
    <t>Discounted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</si>
</sst>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* #,##0_ ;_ &quot;$&quot;* \-#,##0_ ;_ &quot;$&quot;* &quot;-&quot;_ ;_ @_ "/>
    <numFmt numFmtId="165" formatCode="_ &quot;$&quot;* #,##0.0_ ;_ &quot;$&quot;* \-#,##0.0_ ;_ &quot;$&quot;* &quot;-&quot;_ ;_ @_ "/>
    <numFmt numFmtId="166" formatCode="_ &quot;$&quot;* #,##0.00_ ;_ &quot;$&quot;* \-#,##0.00_ ;_ &quot;$&quot;* &quot;-&quot;_ ;_ @_ "/>
    <numFmt numFmtId="167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Aharoni"/>
      <charset val="177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2" borderId="0" applyNumberFormat="0" applyBorder="0" applyAlignment="0" applyProtection="0"/>
    <xf numFmtId="0" fontId="7" fillId="3" borderId="2" applyNumberFormat="0" applyAlignment="0" applyProtection="0"/>
    <xf numFmtId="0" fontId="1" fillId="4" borderId="3" applyNumberFormat="0" applyFont="0" applyAlignment="0" applyProtection="0"/>
  </cellStyleXfs>
  <cellXfs count="60">
    <xf numFmtId="0" fontId="0" fillId="0" borderId="0" xfId="0"/>
    <xf numFmtId="0" fontId="2" fillId="0" borderId="0" xfId="0" applyFon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4" fillId="0" borderId="0" xfId="0" applyFont="1"/>
    <xf numFmtId="167" fontId="3" fillId="0" borderId="0" xfId="0" applyNumberFormat="1" applyFont="1"/>
    <xf numFmtId="164" fontId="3" fillId="0" borderId="0" xfId="0" applyNumberFormat="1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 applyFill="1" applyBorder="1"/>
    <xf numFmtId="165" fontId="0" fillId="0" borderId="0" xfId="1" applyNumberFormat="1" applyFont="1" applyFill="1" applyBorder="1"/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/>
    <xf numFmtId="0" fontId="3" fillId="0" borderId="0" xfId="0" applyFont="1"/>
    <xf numFmtId="164" fontId="0" fillId="0" borderId="0" xfId="1" applyFont="1" applyAlignment="1">
      <alignment horizontal="left" vertical="center" wrapText="1"/>
    </xf>
    <xf numFmtId="165" fontId="0" fillId="0" borderId="0" xfId="1" applyNumberFormat="1" applyFont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4" xfId="0" applyBorder="1"/>
    <xf numFmtId="164" fontId="0" fillId="0" borderId="4" xfId="1" applyFont="1" applyBorder="1" applyAlignment="1">
      <alignment horizontal="left" vertical="center" wrapText="1"/>
    </xf>
    <xf numFmtId="0" fontId="5" fillId="0" borderId="1" xfId="3"/>
    <xf numFmtId="0" fontId="5" fillId="5" borderId="1" xfId="3" applyFill="1" applyAlignment="1">
      <alignment horizontal="center" vertical="center"/>
    </xf>
    <xf numFmtId="164" fontId="5" fillId="5" borderId="1" xfId="3" applyNumberFormat="1" applyFill="1" applyAlignment="1">
      <alignment horizontal="left" vertical="center"/>
    </xf>
    <xf numFmtId="0" fontId="5" fillId="5" borderId="1" xfId="3" applyFill="1" applyAlignment="1">
      <alignment horizontal="left" vertical="center"/>
    </xf>
    <xf numFmtId="10" fontId="5" fillId="5" borderId="1" xfId="3" applyNumberFormat="1" applyFill="1" applyAlignment="1">
      <alignment horizontal="right" vertical="center"/>
    </xf>
    <xf numFmtId="0" fontId="5" fillId="5" borderId="1" xfId="3" applyFill="1"/>
    <xf numFmtId="0" fontId="9" fillId="0" borderId="0" xfId="0" applyFont="1"/>
    <xf numFmtId="0" fontId="5" fillId="5" borderId="1" xfId="3" applyFill="1" applyAlignment="1">
      <alignment vertical="center"/>
    </xf>
    <xf numFmtId="0" fontId="5" fillId="0" borderId="1" xfId="3" applyAlignment="1">
      <alignment vertical="center"/>
    </xf>
    <xf numFmtId="0" fontId="8" fillId="0" borderId="0" xfId="0" applyFont="1" applyBorder="1"/>
    <xf numFmtId="0" fontId="0" fillId="0" borderId="6" xfId="0" applyBorder="1"/>
    <xf numFmtId="164" fontId="0" fillId="0" borderId="6" xfId="0" applyNumberFormat="1" applyBorder="1"/>
    <xf numFmtId="10" fontId="0" fillId="0" borderId="6" xfId="0" applyNumberFormat="1" applyBorder="1"/>
    <xf numFmtId="165" fontId="0" fillId="0" borderId="6" xfId="0" applyNumberFormat="1" applyBorder="1"/>
    <xf numFmtId="9" fontId="0" fillId="0" borderId="6" xfId="0" applyNumberFormat="1" applyBorder="1"/>
    <xf numFmtId="0" fontId="0" fillId="5" borderId="5" xfId="6" applyFont="1" applyFill="1" applyBorder="1"/>
    <xf numFmtId="0" fontId="0" fillId="0" borderId="5" xfId="0" applyBorder="1"/>
    <xf numFmtId="0" fontId="0" fillId="4" borderId="7" xfId="6" applyFont="1" applyBorder="1"/>
    <xf numFmtId="0" fontId="0" fillId="4" borderId="8" xfId="6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7" fillId="3" borderId="7" xfId="5" applyBorder="1"/>
    <xf numFmtId="0" fontId="7" fillId="3" borderId="8" xfId="5" applyBorder="1"/>
    <xf numFmtId="0" fontId="0" fillId="0" borderId="10" xfId="0" applyNumberFormat="1" applyBorder="1"/>
    <xf numFmtId="0" fontId="0" fillId="0" borderId="12" xfId="0" applyNumberFormat="1" applyBorder="1"/>
    <xf numFmtId="0" fontId="6" fillId="2" borderId="13" xfId="4" applyBorder="1"/>
    <xf numFmtId="0" fontId="6" fillId="2" borderId="14" xfId="4" applyBorder="1"/>
    <xf numFmtId="0" fontId="6" fillId="2" borderId="15" xfId="4" applyBorder="1"/>
    <xf numFmtId="10" fontId="0" fillId="0" borderId="10" xfId="0" applyNumberFormat="1" applyBorder="1"/>
    <xf numFmtId="0" fontId="0" fillId="0" borderId="16" xfId="0" applyBorder="1"/>
    <xf numFmtId="164" fontId="0" fillId="0" borderId="16" xfId="0" applyNumberFormat="1" applyBorder="1"/>
    <xf numFmtId="9" fontId="0" fillId="0" borderId="16" xfId="0" applyNumberFormat="1" applyBorder="1"/>
    <xf numFmtId="165" fontId="0" fillId="0" borderId="16" xfId="0" applyNumberFormat="1" applyBorder="1"/>
    <xf numFmtId="10" fontId="0" fillId="0" borderId="12" xfId="0" applyNumberFormat="1" applyBorder="1"/>
  </cellXfs>
  <cellStyles count="7">
    <cellStyle name="Bueno" xfId="4" builtinId="26"/>
    <cellStyle name="Encabezado 1" xfId="3" builtinId="16"/>
    <cellStyle name="Entrada" xfId="5" builtinId="20"/>
    <cellStyle name="Moneda [0]" xfId="1" builtinId="7"/>
    <cellStyle name="Normal" xfId="0" builtinId="0"/>
    <cellStyle name="Notas" xfId="6" builtinId="10"/>
    <cellStyle name="Porcentaje" xfId="2" builtinId="5"/>
  </cellStyles>
  <dxfs count="0"/>
  <tableStyles count="0" defaultTableStyle="TableStyleMedium2" defaultPivotStyle="PivotStyleLight16"/>
  <colors>
    <mruColors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quantity sold x seller</a:t>
            </a:r>
          </a:p>
        </c:rich>
      </c:tx>
      <c:layout>
        <c:manualLayout>
          <c:xMode val="edge"/>
          <c:yMode val="edge"/>
          <c:x val="0.3543272139526248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report!$A$2</c:f>
              <c:strCache>
                <c:ptCount val="1"/>
                <c:pt idx="0">
                  <c:v>Sanchez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report!$B$1</c:f>
              <c:strCache>
                <c:ptCount val="1"/>
                <c:pt idx="0">
                  <c:v>Quantity sold</c:v>
                </c:pt>
              </c:strCache>
            </c:strRef>
          </c:cat>
          <c:val>
            <c:numRef>
              <c:f>report!$B$2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0-4E13-B917-BCD19097785A}"/>
            </c:ext>
          </c:extLst>
        </c:ser>
        <c:ser>
          <c:idx val="1"/>
          <c:order val="1"/>
          <c:tx>
            <c:strRef>
              <c:f>report!$A$3</c:f>
              <c:strCache>
                <c:ptCount val="1"/>
                <c:pt idx="0">
                  <c:v>Haaland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report!$B$1</c:f>
              <c:strCache>
                <c:ptCount val="1"/>
                <c:pt idx="0">
                  <c:v>Quantity sold</c:v>
                </c:pt>
              </c:strCache>
            </c:strRef>
          </c:cat>
          <c:val>
            <c:numRef>
              <c:f>report!$B$3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40-4E13-B917-BCD19097785A}"/>
            </c:ext>
          </c:extLst>
        </c:ser>
        <c:ser>
          <c:idx val="2"/>
          <c:order val="2"/>
          <c:tx>
            <c:strRef>
              <c:f>report!$A$4</c:f>
              <c:strCache>
                <c:ptCount val="1"/>
                <c:pt idx="0">
                  <c:v>Benzema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report!$B$1</c:f>
              <c:strCache>
                <c:ptCount val="1"/>
                <c:pt idx="0">
                  <c:v>Quantity sold</c:v>
                </c:pt>
              </c:strCache>
            </c:strRef>
          </c:cat>
          <c:val>
            <c:numRef>
              <c:f>report!$B$4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0-4E13-B917-BCD19097785A}"/>
            </c:ext>
          </c:extLst>
        </c:ser>
        <c:ser>
          <c:idx val="3"/>
          <c:order val="3"/>
          <c:tx>
            <c:strRef>
              <c:f>report!$A$5</c:f>
              <c:strCache>
                <c:ptCount val="1"/>
                <c:pt idx="0">
                  <c:v>MessiCo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report!$B$1</c:f>
              <c:strCache>
                <c:ptCount val="1"/>
                <c:pt idx="0">
                  <c:v>Quantity sold</c:v>
                </c:pt>
              </c:strCache>
            </c:strRef>
          </c:cat>
          <c:val>
            <c:numRef>
              <c:f>report!$B$5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40-4E13-B917-BCD19097785A}"/>
            </c:ext>
          </c:extLst>
        </c:ser>
        <c:ser>
          <c:idx val="4"/>
          <c:order val="4"/>
          <c:tx>
            <c:strRef>
              <c:f>report!$A$6</c:f>
              <c:strCache>
                <c:ptCount val="1"/>
                <c:pt idx="0">
                  <c:v>Xavi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report!$B$1</c:f>
              <c:strCache>
                <c:ptCount val="1"/>
                <c:pt idx="0">
                  <c:v>Quantity sold</c:v>
                </c:pt>
              </c:strCache>
            </c:strRef>
          </c:cat>
          <c:val>
            <c:numRef>
              <c:f>report!$B$6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40-4E13-B917-BCD19097785A}"/>
            </c:ext>
          </c:extLst>
        </c:ser>
        <c:ser>
          <c:idx val="5"/>
          <c:order val="5"/>
          <c:tx>
            <c:strRef>
              <c:f>report!$A$7</c:f>
              <c:strCache>
                <c:ptCount val="1"/>
                <c:pt idx="0">
                  <c:v>Bravo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report!$B$1</c:f>
              <c:strCache>
                <c:ptCount val="1"/>
                <c:pt idx="0">
                  <c:v>Quantity sold</c:v>
                </c:pt>
              </c:strCache>
            </c:strRef>
          </c:cat>
          <c:val>
            <c:numRef>
              <c:f>report!$B$7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40-4E13-B917-BCD19097785A}"/>
            </c:ext>
          </c:extLst>
        </c:ser>
        <c:ser>
          <c:idx val="6"/>
          <c:order val="6"/>
          <c:tx>
            <c:strRef>
              <c:f>report!$A$8</c:f>
              <c:strCache>
                <c:ptCount val="1"/>
                <c:pt idx="0">
                  <c:v>Messi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report!$B$1</c:f>
              <c:strCache>
                <c:ptCount val="1"/>
                <c:pt idx="0">
                  <c:v>Quantity sold</c:v>
                </c:pt>
              </c:strCache>
            </c:strRef>
          </c:cat>
          <c:val>
            <c:numRef>
              <c:f>report!$B$8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40-4E13-B917-BCD190977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473055"/>
        <c:axId val="253071839"/>
      </c:barChart>
      <c:catAx>
        <c:axId val="20484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53071839"/>
        <c:crosses val="autoZero"/>
        <c:auto val="1"/>
        <c:lblAlgn val="ctr"/>
        <c:lblOffset val="100"/>
        <c:noMultiLvlLbl val="0"/>
      </c:catAx>
      <c:valAx>
        <c:axId val="253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4847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Client x </a:t>
            </a:r>
            <a:r>
              <a:rPr lang="en-US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category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report!$B$12</c:f>
              <c:strCache>
                <c:ptCount val="1"/>
                <c:pt idx="0">
                  <c:v>Client Name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report!$A$13:$A$17</c:f>
              <c:strCache>
                <c:ptCount val="5"/>
                <c:pt idx="0">
                  <c:v>commercial</c:v>
                </c:pt>
                <c:pt idx="1">
                  <c:v>corporate</c:v>
                </c:pt>
                <c:pt idx="2">
                  <c:v>individual</c:v>
                </c:pt>
                <c:pt idx="3">
                  <c:v>international</c:v>
                </c:pt>
                <c:pt idx="4">
                  <c:v>wholesalers</c:v>
                </c:pt>
              </c:strCache>
            </c:strRef>
          </c:cat>
          <c:val>
            <c:numRef>
              <c:f>report!$B$13:$B$17</c:f>
              <c:numCache>
                <c:formatCode>General</c:formatCode>
                <c:ptCount val="5"/>
                <c:pt idx="0">
                  <c:v>61</c:v>
                </c:pt>
                <c:pt idx="1">
                  <c:v>22</c:v>
                </c:pt>
                <c:pt idx="2">
                  <c:v>20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4-423B-A8D6-A5596AD35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25438943"/>
        <c:axId val="1929394975"/>
      </c:barChart>
      <c:catAx>
        <c:axId val="1925438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9394975"/>
        <c:crosses val="autoZero"/>
        <c:auto val="1"/>
        <c:lblAlgn val="ctr"/>
        <c:lblOffset val="100"/>
        <c:noMultiLvlLbl val="0"/>
      </c:catAx>
      <c:valAx>
        <c:axId val="192939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543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</cx:f>
      </cx:strDim>
      <cx:numDim type="size">
        <cx:f>_xlchart.v1.38</cx:f>
      </cx:numDim>
    </cx:data>
  </cx:chartData>
  <cx:chart>
    <cx:title pos="t" align="ctr" overlay="0">
      <cx:tx>
        <cx:txData>
          <cx:v>Quantity of Product x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Quantity of Product x Category</a:t>
          </a:r>
        </a:p>
      </cx:txPr>
    </cx:title>
    <cx:plotArea>
      <cx:plotAreaRegion>
        <cx:series layoutId="treemap" uniqueId="{4BB94412-C810-4499-88F4-549680F32FF6}">
          <cx:tx>
            <cx:txData>
              <cx:f>_xlchart.v1.37</cx:f>
              <cx:v>Product Category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47625</xdr:rowOff>
    </xdr:from>
    <xdr:to>
      <xdr:col>6</xdr:col>
      <xdr:colOff>104775</xdr:colOff>
      <xdr:row>16</xdr:row>
      <xdr:rowOff>73025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9CE241-D0E5-4504-9043-F19D1DF17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438150</xdr:colOff>
      <xdr:row>1</xdr:row>
      <xdr:rowOff>38100</xdr:rowOff>
    </xdr:from>
    <xdr:to>
      <xdr:col>12</xdr:col>
      <xdr:colOff>447675</xdr:colOff>
      <xdr:row>16</xdr:row>
      <xdr:rowOff>63500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7D8C07C-DFC9-4822-999E-445DF077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276226</xdr:colOff>
      <xdr:row>17</xdr:row>
      <xdr:rowOff>85725</xdr:rowOff>
    </xdr:from>
    <xdr:to>
      <xdr:col>10</xdr:col>
      <xdr:colOff>146050</xdr:colOff>
      <xdr:row>36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237E5926-A6A6-4FF0-AE24-993B029B33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0226" y="3162300"/>
              <a:ext cx="5965824" cy="3524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BC4E-3A3F-40D3-A94C-E42F1EBBCAC7}">
  <dimension ref="A1:Y183"/>
  <sheetViews>
    <sheetView zoomScaleNormal="100" workbookViewId="0">
      <pane ySplit="1" topLeftCell="A88" activePane="bottomLeft" state="frozen"/>
      <selection pane="bottomLeft" activeCell="H108" sqref="H108"/>
    </sheetView>
  </sheetViews>
  <sheetFormatPr baseColWidth="10" defaultRowHeight="14.5" x14ac:dyDescent="0.35"/>
  <cols>
    <col min="1" max="1" width="16.90625" customWidth="1"/>
    <col min="2" max="2" width="19.54296875" customWidth="1"/>
    <col min="3" max="3" width="25.81640625" customWidth="1"/>
    <col min="4" max="4" width="20.1796875" bestFit="1" customWidth="1"/>
    <col min="6" max="6" width="19.1796875" customWidth="1"/>
    <col min="9" max="10" width="16.90625" bestFit="1" customWidth="1"/>
    <col min="11" max="11" width="12.90625" customWidth="1"/>
    <col min="13" max="13" width="13.90625" bestFit="1" customWidth="1"/>
    <col min="17" max="17" width="13.90625" bestFit="1" customWidth="1"/>
    <col min="21" max="21" width="13.90625" bestFit="1" customWidth="1"/>
    <col min="22" max="22" width="8.90625" bestFit="1" customWidth="1"/>
    <col min="24" max="24" width="13.90625" bestFit="1" customWidth="1"/>
  </cols>
  <sheetData>
    <row r="1" spans="1:11" s="33" customFormat="1" ht="25" customHeight="1" thickBot="1" x14ac:dyDescent="0.5">
      <c r="A1" s="29" t="s">
        <v>38</v>
      </c>
      <c r="B1" s="25" t="s">
        <v>39</v>
      </c>
      <c r="C1" s="31" t="s">
        <v>41</v>
      </c>
      <c r="D1" s="25" t="s">
        <v>40</v>
      </c>
    </row>
    <row r="2" spans="1:11" ht="15" thickTop="1" x14ac:dyDescent="0.35">
      <c r="A2">
        <v>1</v>
      </c>
      <c r="B2" t="s">
        <v>57</v>
      </c>
      <c r="C2" t="s">
        <v>42</v>
      </c>
      <c r="D2" t="s">
        <v>47</v>
      </c>
      <c r="F2" s="1"/>
    </row>
    <row r="3" spans="1:11" ht="16.5" x14ac:dyDescent="0.45">
      <c r="A3">
        <f>A2+1</f>
        <v>2</v>
      </c>
      <c r="B3" t="s">
        <v>57</v>
      </c>
      <c r="C3" t="s">
        <v>42</v>
      </c>
      <c r="D3" t="s">
        <v>47</v>
      </c>
      <c r="G3" s="30"/>
    </row>
    <row r="4" spans="1:11" x14ac:dyDescent="0.35">
      <c r="A4">
        <f>A3+1</f>
        <v>3</v>
      </c>
      <c r="B4" t="s">
        <v>57</v>
      </c>
      <c r="C4" t="s">
        <v>42</v>
      </c>
      <c r="D4" t="s">
        <v>47</v>
      </c>
    </row>
    <row r="5" spans="1:11" x14ac:dyDescent="0.35">
      <c r="A5">
        <f t="shared" ref="A5:A68" si="0">A4+1</f>
        <v>4</v>
      </c>
      <c r="B5" t="s">
        <v>57</v>
      </c>
      <c r="C5" t="s">
        <v>42</v>
      </c>
      <c r="D5" t="s">
        <v>47</v>
      </c>
      <c r="F5" s="9"/>
      <c r="G5" s="10"/>
      <c r="H5" s="10"/>
      <c r="I5" s="10"/>
      <c r="J5" s="10"/>
      <c r="K5" s="10"/>
    </row>
    <row r="6" spans="1:11" x14ac:dyDescent="0.35">
      <c r="A6">
        <f t="shared" si="0"/>
        <v>5</v>
      </c>
      <c r="B6" t="s">
        <v>58</v>
      </c>
      <c r="C6" t="s">
        <v>42</v>
      </c>
      <c r="D6" t="s">
        <v>47</v>
      </c>
    </row>
    <row r="7" spans="1:11" x14ac:dyDescent="0.35">
      <c r="A7">
        <f t="shared" si="0"/>
        <v>6</v>
      </c>
      <c r="B7" t="s">
        <v>58</v>
      </c>
      <c r="C7" t="s">
        <v>42</v>
      </c>
      <c r="D7" t="s">
        <v>47</v>
      </c>
    </row>
    <row r="8" spans="1:11" x14ac:dyDescent="0.35">
      <c r="A8">
        <f t="shared" si="0"/>
        <v>7</v>
      </c>
      <c r="B8" t="s">
        <v>58</v>
      </c>
      <c r="C8" t="s">
        <v>42</v>
      </c>
      <c r="D8" t="s">
        <v>47</v>
      </c>
    </row>
    <row r="9" spans="1:11" x14ac:dyDescent="0.35">
      <c r="A9">
        <f t="shared" si="0"/>
        <v>8</v>
      </c>
      <c r="B9" t="s">
        <v>58</v>
      </c>
      <c r="C9" t="s">
        <v>42</v>
      </c>
      <c r="D9" t="s">
        <v>47</v>
      </c>
    </row>
    <row r="10" spans="1:11" x14ac:dyDescent="0.35">
      <c r="A10">
        <f t="shared" si="0"/>
        <v>9</v>
      </c>
      <c r="B10" t="s">
        <v>58</v>
      </c>
      <c r="C10" t="s">
        <v>42</v>
      </c>
      <c r="D10" t="s">
        <v>47</v>
      </c>
    </row>
    <row r="11" spans="1:11" x14ac:dyDescent="0.35">
      <c r="A11">
        <f t="shared" si="0"/>
        <v>10</v>
      </c>
      <c r="B11" t="s">
        <v>56</v>
      </c>
      <c r="C11" t="s">
        <v>42</v>
      </c>
      <c r="D11" t="s">
        <v>47</v>
      </c>
    </row>
    <row r="12" spans="1:11" x14ac:dyDescent="0.35">
      <c r="A12">
        <f t="shared" si="0"/>
        <v>11</v>
      </c>
      <c r="B12" t="s">
        <v>56</v>
      </c>
      <c r="C12" t="s">
        <v>42</v>
      </c>
      <c r="D12" t="s">
        <v>47</v>
      </c>
    </row>
    <row r="13" spans="1:11" x14ac:dyDescent="0.35">
      <c r="A13">
        <f t="shared" si="0"/>
        <v>12</v>
      </c>
      <c r="B13" t="s">
        <v>56</v>
      </c>
      <c r="C13" t="s">
        <v>42</v>
      </c>
      <c r="D13" t="s">
        <v>47</v>
      </c>
      <c r="F13" s="9"/>
      <c r="G13" s="9"/>
      <c r="H13" s="9"/>
      <c r="I13" s="9"/>
      <c r="J13" s="9"/>
      <c r="K13" s="9"/>
    </row>
    <row r="14" spans="1:11" x14ac:dyDescent="0.35">
      <c r="A14">
        <f t="shared" si="0"/>
        <v>13</v>
      </c>
      <c r="B14" t="s">
        <v>56</v>
      </c>
      <c r="C14" t="s">
        <v>42</v>
      </c>
      <c r="D14" t="s">
        <v>47</v>
      </c>
    </row>
    <row r="15" spans="1:11" x14ac:dyDescent="0.35">
      <c r="A15">
        <f t="shared" si="0"/>
        <v>14</v>
      </c>
      <c r="B15" t="s">
        <v>56</v>
      </c>
      <c r="C15" t="s">
        <v>42</v>
      </c>
      <c r="D15" t="s">
        <v>47</v>
      </c>
    </row>
    <row r="16" spans="1:11" x14ac:dyDescent="0.35">
      <c r="A16">
        <f t="shared" si="0"/>
        <v>15</v>
      </c>
      <c r="B16" t="s">
        <v>0</v>
      </c>
      <c r="C16" t="s">
        <v>43</v>
      </c>
      <c r="D16" t="s">
        <v>48</v>
      </c>
    </row>
    <row r="17" spans="1:25" x14ac:dyDescent="0.35">
      <c r="A17">
        <f t="shared" si="0"/>
        <v>16</v>
      </c>
      <c r="B17" t="s">
        <v>0</v>
      </c>
      <c r="C17" t="s">
        <v>43</v>
      </c>
      <c r="D17" t="s">
        <v>48</v>
      </c>
    </row>
    <row r="18" spans="1:25" x14ac:dyDescent="0.35">
      <c r="A18">
        <f t="shared" si="0"/>
        <v>17</v>
      </c>
      <c r="B18" t="s">
        <v>0</v>
      </c>
      <c r="C18" t="s">
        <v>43</v>
      </c>
      <c r="D18" t="s">
        <v>48</v>
      </c>
    </row>
    <row r="19" spans="1:25" x14ac:dyDescent="0.35">
      <c r="A19">
        <f t="shared" si="0"/>
        <v>18</v>
      </c>
      <c r="B19" t="s">
        <v>0</v>
      </c>
      <c r="C19" t="s">
        <v>43</v>
      </c>
      <c r="D19" t="s">
        <v>48</v>
      </c>
    </row>
    <row r="20" spans="1:25" x14ac:dyDescent="0.35">
      <c r="A20">
        <f t="shared" si="0"/>
        <v>19</v>
      </c>
      <c r="B20" t="s">
        <v>0</v>
      </c>
      <c r="C20" t="s">
        <v>43</v>
      </c>
      <c r="D20" t="s">
        <v>48</v>
      </c>
    </row>
    <row r="21" spans="1:25" x14ac:dyDescent="0.35">
      <c r="A21">
        <f t="shared" si="0"/>
        <v>20</v>
      </c>
      <c r="B21" t="s">
        <v>0</v>
      </c>
      <c r="C21" t="s">
        <v>43</v>
      </c>
      <c r="D21" t="s">
        <v>48</v>
      </c>
      <c r="F21" s="1"/>
    </row>
    <row r="22" spans="1:25" x14ac:dyDescent="0.35">
      <c r="A22">
        <f t="shared" si="0"/>
        <v>21</v>
      </c>
      <c r="B22" t="s">
        <v>1</v>
      </c>
      <c r="C22" t="s">
        <v>43</v>
      </c>
      <c r="D22" t="s">
        <v>48</v>
      </c>
      <c r="G22" s="10"/>
      <c r="J22" s="10"/>
      <c r="K22" s="10"/>
      <c r="N22" s="10"/>
      <c r="O22" s="10"/>
      <c r="R22" s="10"/>
      <c r="S22" s="10"/>
      <c r="V22" s="10"/>
      <c r="Y22" s="10"/>
    </row>
    <row r="23" spans="1:25" x14ac:dyDescent="0.35">
      <c r="A23">
        <f t="shared" si="0"/>
        <v>22</v>
      </c>
      <c r="B23" t="s">
        <v>1</v>
      </c>
      <c r="C23" t="s">
        <v>43</v>
      </c>
      <c r="D23" t="s">
        <v>48</v>
      </c>
      <c r="F23" s="9"/>
      <c r="G23" s="11"/>
      <c r="I23" s="9"/>
      <c r="J23" s="11"/>
      <c r="K23" s="11"/>
      <c r="M23" s="9"/>
      <c r="N23" s="11"/>
      <c r="O23" s="11"/>
      <c r="Q23" s="9"/>
      <c r="R23" s="11"/>
      <c r="S23" s="11"/>
      <c r="U23" s="9"/>
      <c r="V23" s="12"/>
      <c r="X23" s="9"/>
      <c r="Y23" s="11"/>
    </row>
    <row r="24" spans="1:25" x14ac:dyDescent="0.35">
      <c r="A24">
        <f t="shared" si="0"/>
        <v>23</v>
      </c>
      <c r="B24" t="s">
        <v>1</v>
      </c>
      <c r="C24" t="s">
        <v>43</v>
      </c>
      <c r="D24" t="s">
        <v>48</v>
      </c>
      <c r="F24" s="9"/>
      <c r="G24" s="11"/>
      <c r="I24" s="9"/>
      <c r="J24" s="11"/>
      <c r="K24" s="11"/>
      <c r="M24" s="9"/>
      <c r="N24" s="11"/>
      <c r="O24" s="11"/>
      <c r="Q24" s="9"/>
      <c r="R24" s="11"/>
      <c r="S24" s="11"/>
      <c r="U24" s="9"/>
      <c r="V24" s="12"/>
      <c r="X24" s="9"/>
      <c r="Y24" s="11"/>
    </row>
    <row r="25" spans="1:25" x14ac:dyDescent="0.35">
      <c r="A25">
        <f t="shared" si="0"/>
        <v>24</v>
      </c>
      <c r="B25" t="s">
        <v>1</v>
      </c>
      <c r="C25" t="s">
        <v>43</v>
      </c>
      <c r="D25" t="s">
        <v>48</v>
      </c>
      <c r="F25" s="9"/>
      <c r="G25" s="11"/>
      <c r="I25" s="9"/>
      <c r="J25" s="11"/>
      <c r="K25" s="11"/>
      <c r="M25" s="9"/>
      <c r="N25" s="11"/>
      <c r="O25" s="11"/>
      <c r="Q25" s="9"/>
      <c r="R25" s="11"/>
      <c r="S25" s="11"/>
      <c r="U25" s="9"/>
      <c r="V25" s="12"/>
      <c r="X25" s="9"/>
      <c r="Y25" s="11"/>
    </row>
    <row r="26" spans="1:25" x14ac:dyDescent="0.35">
      <c r="A26">
        <f t="shared" si="0"/>
        <v>25</v>
      </c>
      <c r="B26" t="s">
        <v>1</v>
      </c>
      <c r="C26" t="s">
        <v>43</v>
      </c>
      <c r="D26" t="s">
        <v>48</v>
      </c>
      <c r="F26" s="9"/>
      <c r="G26" s="11"/>
      <c r="I26" s="9"/>
      <c r="J26" s="11"/>
      <c r="K26" s="11"/>
      <c r="M26" s="9"/>
      <c r="N26" s="11"/>
      <c r="O26" s="11"/>
      <c r="Q26" s="9"/>
      <c r="R26" s="11"/>
      <c r="S26" s="11"/>
      <c r="U26" s="9"/>
      <c r="V26" s="12"/>
      <c r="X26" s="9"/>
      <c r="Y26" s="11"/>
    </row>
    <row r="27" spans="1:25" x14ac:dyDescent="0.35">
      <c r="A27">
        <f t="shared" si="0"/>
        <v>26</v>
      </c>
      <c r="B27" t="s">
        <v>1</v>
      </c>
      <c r="C27" t="s">
        <v>43</v>
      </c>
      <c r="D27" t="s">
        <v>48</v>
      </c>
      <c r="F27" s="9"/>
      <c r="G27" s="11"/>
      <c r="I27" s="9"/>
      <c r="J27" s="11"/>
      <c r="K27" s="11"/>
      <c r="M27" s="9"/>
      <c r="N27" s="11"/>
      <c r="O27" s="11"/>
      <c r="Q27" s="9"/>
      <c r="R27" s="11"/>
      <c r="S27" s="11"/>
      <c r="U27" s="9"/>
      <c r="V27" s="12"/>
      <c r="X27" s="9"/>
      <c r="Y27" s="11"/>
    </row>
    <row r="28" spans="1:25" x14ac:dyDescent="0.35">
      <c r="A28">
        <f t="shared" si="0"/>
        <v>27</v>
      </c>
      <c r="B28" t="s">
        <v>2</v>
      </c>
      <c r="C28" t="s">
        <v>43</v>
      </c>
      <c r="D28" t="s">
        <v>48</v>
      </c>
      <c r="F28" s="9"/>
      <c r="G28" s="2"/>
      <c r="I28" s="9"/>
      <c r="J28" s="2"/>
      <c r="K28" s="2"/>
      <c r="M28" s="9"/>
      <c r="N28" s="2"/>
      <c r="O28" s="2"/>
      <c r="Q28" s="9"/>
      <c r="R28" s="2"/>
      <c r="S28" s="2"/>
      <c r="U28" s="9"/>
      <c r="V28" s="2"/>
      <c r="X28" s="9"/>
      <c r="Y28" s="2"/>
    </row>
    <row r="29" spans="1:25" x14ac:dyDescent="0.35">
      <c r="A29">
        <f t="shared" si="0"/>
        <v>28</v>
      </c>
      <c r="B29" t="s">
        <v>2</v>
      </c>
      <c r="C29" t="s">
        <v>43</v>
      </c>
      <c r="D29" t="s">
        <v>48</v>
      </c>
    </row>
    <row r="30" spans="1:25" x14ac:dyDescent="0.35">
      <c r="A30">
        <f t="shared" si="0"/>
        <v>29</v>
      </c>
      <c r="B30" t="s">
        <v>2</v>
      </c>
      <c r="C30" t="s">
        <v>43</v>
      </c>
      <c r="D30" t="s">
        <v>48</v>
      </c>
    </row>
    <row r="31" spans="1:25" x14ac:dyDescent="0.35">
      <c r="A31">
        <f t="shared" si="0"/>
        <v>30</v>
      </c>
      <c r="B31" t="s">
        <v>2</v>
      </c>
      <c r="C31" t="s">
        <v>43</v>
      </c>
      <c r="D31" t="s">
        <v>48</v>
      </c>
    </row>
    <row r="32" spans="1:25" x14ac:dyDescent="0.35">
      <c r="A32">
        <f t="shared" si="0"/>
        <v>31</v>
      </c>
      <c r="B32" t="s">
        <v>2</v>
      </c>
      <c r="C32" t="s">
        <v>43</v>
      </c>
      <c r="D32" t="s">
        <v>48</v>
      </c>
    </row>
    <row r="33" spans="1:4" x14ac:dyDescent="0.35">
      <c r="A33">
        <f t="shared" si="0"/>
        <v>32</v>
      </c>
      <c r="B33" t="s">
        <v>3</v>
      </c>
      <c r="C33" t="s">
        <v>43</v>
      </c>
      <c r="D33" t="s">
        <v>48</v>
      </c>
    </row>
    <row r="34" spans="1:4" x14ac:dyDescent="0.35">
      <c r="A34">
        <f t="shared" si="0"/>
        <v>33</v>
      </c>
      <c r="B34" t="s">
        <v>3</v>
      </c>
      <c r="C34" t="s">
        <v>43</v>
      </c>
      <c r="D34" t="s">
        <v>48</v>
      </c>
    </row>
    <row r="35" spans="1:4" x14ac:dyDescent="0.35">
      <c r="A35">
        <f t="shared" si="0"/>
        <v>34</v>
      </c>
      <c r="B35" t="s">
        <v>3</v>
      </c>
      <c r="C35" t="s">
        <v>43</v>
      </c>
      <c r="D35" t="s">
        <v>48</v>
      </c>
    </row>
    <row r="36" spans="1:4" x14ac:dyDescent="0.35">
      <c r="A36">
        <f t="shared" si="0"/>
        <v>35</v>
      </c>
      <c r="B36" t="s">
        <v>3</v>
      </c>
      <c r="C36" t="s">
        <v>43</v>
      </c>
      <c r="D36" t="s">
        <v>48</v>
      </c>
    </row>
    <row r="37" spans="1:4" x14ac:dyDescent="0.35">
      <c r="A37">
        <f t="shared" si="0"/>
        <v>36</v>
      </c>
      <c r="B37" t="s">
        <v>3</v>
      </c>
      <c r="C37" t="s">
        <v>43</v>
      </c>
      <c r="D37" t="s">
        <v>48</v>
      </c>
    </row>
    <row r="38" spans="1:4" x14ac:dyDescent="0.35">
      <c r="A38">
        <f t="shared" si="0"/>
        <v>37</v>
      </c>
      <c r="B38" t="s">
        <v>3</v>
      </c>
      <c r="C38" t="s">
        <v>43</v>
      </c>
      <c r="D38" t="s">
        <v>48</v>
      </c>
    </row>
    <row r="39" spans="1:4" x14ac:dyDescent="0.35">
      <c r="A39">
        <f t="shared" si="0"/>
        <v>38</v>
      </c>
      <c r="B39" t="s">
        <v>3</v>
      </c>
      <c r="C39" t="s">
        <v>43</v>
      </c>
      <c r="D39" t="s">
        <v>48</v>
      </c>
    </row>
    <row r="40" spans="1:4" x14ac:dyDescent="0.35">
      <c r="A40">
        <f t="shared" si="0"/>
        <v>39</v>
      </c>
      <c r="B40" t="s">
        <v>3</v>
      </c>
      <c r="C40" t="s">
        <v>43</v>
      </c>
      <c r="D40" t="s">
        <v>48</v>
      </c>
    </row>
    <row r="41" spans="1:4" x14ac:dyDescent="0.35">
      <c r="A41">
        <f t="shared" si="0"/>
        <v>40</v>
      </c>
      <c r="B41" t="s">
        <v>3</v>
      </c>
      <c r="C41" t="s">
        <v>43</v>
      </c>
      <c r="D41" t="s">
        <v>48</v>
      </c>
    </row>
    <row r="42" spans="1:4" x14ac:dyDescent="0.35">
      <c r="A42">
        <f t="shared" si="0"/>
        <v>41</v>
      </c>
      <c r="B42" t="s">
        <v>3</v>
      </c>
      <c r="C42" t="s">
        <v>43</v>
      </c>
      <c r="D42" t="s">
        <v>48</v>
      </c>
    </row>
    <row r="43" spans="1:4" x14ac:dyDescent="0.35">
      <c r="A43">
        <f t="shared" si="0"/>
        <v>42</v>
      </c>
      <c r="B43" t="s">
        <v>55</v>
      </c>
      <c r="C43" t="s">
        <v>44</v>
      </c>
      <c r="D43" t="s">
        <v>47</v>
      </c>
    </row>
    <row r="44" spans="1:4" x14ac:dyDescent="0.35">
      <c r="A44">
        <f t="shared" si="0"/>
        <v>43</v>
      </c>
      <c r="B44" t="s">
        <v>55</v>
      </c>
      <c r="C44" t="s">
        <v>44</v>
      </c>
      <c r="D44" t="s">
        <v>47</v>
      </c>
    </row>
    <row r="45" spans="1:4" x14ac:dyDescent="0.35">
      <c r="A45">
        <f t="shared" si="0"/>
        <v>44</v>
      </c>
      <c r="B45" t="s">
        <v>55</v>
      </c>
      <c r="C45" t="s">
        <v>44</v>
      </c>
      <c r="D45" t="s">
        <v>47</v>
      </c>
    </row>
    <row r="46" spans="1:4" x14ac:dyDescent="0.35">
      <c r="A46">
        <f t="shared" si="0"/>
        <v>45</v>
      </c>
      <c r="B46" t="s">
        <v>55</v>
      </c>
      <c r="C46" t="s">
        <v>44</v>
      </c>
      <c r="D46" t="s">
        <v>47</v>
      </c>
    </row>
    <row r="47" spans="1:4" x14ac:dyDescent="0.35">
      <c r="A47">
        <f t="shared" si="0"/>
        <v>46</v>
      </c>
      <c r="B47" t="s">
        <v>55</v>
      </c>
      <c r="C47" t="s">
        <v>44</v>
      </c>
      <c r="D47" t="s">
        <v>47</v>
      </c>
    </row>
    <row r="48" spans="1:4" x14ac:dyDescent="0.35">
      <c r="A48">
        <f t="shared" si="0"/>
        <v>47</v>
      </c>
      <c r="B48" t="s">
        <v>54</v>
      </c>
      <c r="C48" t="s">
        <v>44</v>
      </c>
      <c r="D48" t="s">
        <v>47</v>
      </c>
    </row>
    <row r="49" spans="1:4" x14ac:dyDescent="0.35">
      <c r="A49">
        <f t="shared" si="0"/>
        <v>48</v>
      </c>
      <c r="B49" t="s">
        <v>54</v>
      </c>
      <c r="C49" t="s">
        <v>44</v>
      </c>
      <c r="D49" t="s">
        <v>47</v>
      </c>
    </row>
    <row r="50" spans="1:4" x14ac:dyDescent="0.35">
      <c r="A50">
        <f t="shared" si="0"/>
        <v>49</v>
      </c>
      <c r="B50" t="s">
        <v>54</v>
      </c>
      <c r="C50" t="s">
        <v>44</v>
      </c>
      <c r="D50" t="s">
        <v>47</v>
      </c>
    </row>
    <row r="51" spans="1:4" x14ac:dyDescent="0.35">
      <c r="A51">
        <f t="shared" si="0"/>
        <v>50</v>
      </c>
      <c r="B51" t="s">
        <v>54</v>
      </c>
      <c r="C51" t="s">
        <v>44</v>
      </c>
      <c r="D51" t="s">
        <v>47</v>
      </c>
    </row>
    <row r="52" spans="1:4" x14ac:dyDescent="0.35">
      <c r="A52">
        <f t="shared" si="0"/>
        <v>51</v>
      </c>
      <c r="B52" t="s">
        <v>54</v>
      </c>
      <c r="C52" t="s">
        <v>44</v>
      </c>
      <c r="D52" t="s">
        <v>47</v>
      </c>
    </row>
    <row r="53" spans="1:4" x14ac:dyDescent="0.35">
      <c r="A53">
        <f t="shared" si="0"/>
        <v>52</v>
      </c>
      <c r="B53" t="s">
        <v>54</v>
      </c>
      <c r="C53" t="s">
        <v>44</v>
      </c>
      <c r="D53" t="s">
        <v>47</v>
      </c>
    </row>
    <row r="54" spans="1:4" x14ac:dyDescent="0.35">
      <c r="A54">
        <f t="shared" si="0"/>
        <v>53</v>
      </c>
      <c r="B54" t="s">
        <v>53</v>
      </c>
      <c r="C54" t="s">
        <v>44</v>
      </c>
      <c r="D54" t="s">
        <v>47</v>
      </c>
    </row>
    <row r="55" spans="1:4" x14ac:dyDescent="0.35">
      <c r="A55">
        <f t="shared" si="0"/>
        <v>54</v>
      </c>
      <c r="B55" t="s">
        <v>53</v>
      </c>
      <c r="C55" t="s">
        <v>44</v>
      </c>
      <c r="D55" t="s">
        <v>47</v>
      </c>
    </row>
    <row r="56" spans="1:4" x14ac:dyDescent="0.35">
      <c r="A56">
        <f t="shared" si="0"/>
        <v>55</v>
      </c>
      <c r="B56" t="s">
        <v>53</v>
      </c>
      <c r="C56" t="s">
        <v>44</v>
      </c>
      <c r="D56" t="s">
        <v>47</v>
      </c>
    </row>
    <row r="57" spans="1:4" x14ac:dyDescent="0.35">
      <c r="A57">
        <f t="shared" si="0"/>
        <v>56</v>
      </c>
      <c r="B57" t="s">
        <v>53</v>
      </c>
      <c r="C57" t="s">
        <v>44</v>
      </c>
      <c r="D57" t="s">
        <v>47</v>
      </c>
    </row>
    <row r="58" spans="1:4" x14ac:dyDescent="0.35">
      <c r="A58">
        <f t="shared" si="0"/>
        <v>57</v>
      </c>
      <c r="B58" t="s">
        <v>53</v>
      </c>
      <c r="C58" t="s">
        <v>44</v>
      </c>
      <c r="D58" t="s">
        <v>47</v>
      </c>
    </row>
    <row r="59" spans="1:4" x14ac:dyDescent="0.35">
      <c r="A59">
        <f t="shared" si="0"/>
        <v>58</v>
      </c>
      <c r="B59" t="s">
        <v>53</v>
      </c>
      <c r="C59" t="s">
        <v>44</v>
      </c>
      <c r="D59" t="s">
        <v>47</v>
      </c>
    </row>
    <row r="60" spans="1:4" x14ac:dyDescent="0.35">
      <c r="A60">
        <f t="shared" si="0"/>
        <v>59</v>
      </c>
      <c r="B60" t="s">
        <v>52</v>
      </c>
      <c r="C60" t="s">
        <v>44</v>
      </c>
      <c r="D60" t="s">
        <v>47</v>
      </c>
    </row>
    <row r="61" spans="1:4" x14ac:dyDescent="0.35">
      <c r="A61">
        <f t="shared" si="0"/>
        <v>60</v>
      </c>
      <c r="B61" t="s">
        <v>52</v>
      </c>
      <c r="C61" t="s">
        <v>44</v>
      </c>
      <c r="D61" t="s">
        <v>47</v>
      </c>
    </row>
    <row r="62" spans="1:4" x14ac:dyDescent="0.35">
      <c r="A62">
        <f t="shared" si="0"/>
        <v>61</v>
      </c>
      <c r="B62" t="s">
        <v>52</v>
      </c>
      <c r="C62" t="s">
        <v>44</v>
      </c>
      <c r="D62" t="s">
        <v>47</v>
      </c>
    </row>
    <row r="63" spans="1:4" x14ac:dyDescent="0.35">
      <c r="A63">
        <f t="shared" si="0"/>
        <v>62</v>
      </c>
      <c r="B63" t="s">
        <v>52</v>
      </c>
      <c r="C63" t="s">
        <v>44</v>
      </c>
      <c r="D63" t="s">
        <v>47</v>
      </c>
    </row>
    <row r="64" spans="1:4" x14ac:dyDescent="0.35">
      <c r="A64">
        <f t="shared" si="0"/>
        <v>63</v>
      </c>
      <c r="B64" t="s">
        <v>52</v>
      </c>
      <c r="C64" t="s">
        <v>44</v>
      </c>
      <c r="D64" t="s">
        <v>47</v>
      </c>
    </row>
    <row r="65" spans="1:4" x14ac:dyDescent="0.35">
      <c r="A65">
        <f t="shared" si="0"/>
        <v>64</v>
      </c>
      <c r="B65" t="s">
        <v>52</v>
      </c>
      <c r="C65" t="s">
        <v>44</v>
      </c>
      <c r="D65" t="s">
        <v>47</v>
      </c>
    </row>
    <row r="66" spans="1:4" x14ac:dyDescent="0.35">
      <c r="A66">
        <f t="shared" si="0"/>
        <v>65</v>
      </c>
      <c r="B66" t="s">
        <v>52</v>
      </c>
      <c r="C66" t="s">
        <v>44</v>
      </c>
      <c r="D66" t="s">
        <v>47</v>
      </c>
    </row>
    <row r="67" spans="1:4" x14ac:dyDescent="0.35">
      <c r="A67">
        <f t="shared" si="0"/>
        <v>66</v>
      </c>
      <c r="B67" t="s">
        <v>51</v>
      </c>
      <c r="C67" t="s">
        <v>44</v>
      </c>
      <c r="D67" t="s">
        <v>47</v>
      </c>
    </row>
    <row r="68" spans="1:4" x14ac:dyDescent="0.35">
      <c r="A68">
        <f t="shared" si="0"/>
        <v>67</v>
      </c>
      <c r="B68" t="s">
        <v>51</v>
      </c>
      <c r="C68" t="s">
        <v>44</v>
      </c>
      <c r="D68" t="s">
        <v>47</v>
      </c>
    </row>
    <row r="69" spans="1:4" x14ac:dyDescent="0.35">
      <c r="A69">
        <f t="shared" ref="A69:A121" si="1">A68+1</f>
        <v>68</v>
      </c>
      <c r="B69" t="s">
        <v>51</v>
      </c>
      <c r="C69" t="s">
        <v>44</v>
      </c>
      <c r="D69" t="s">
        <v>47</v>
      </c>
    </row>
    <row r="70" spans="1:4" x14ac:dyDescent="0.35">
      <c r="A70">
        <f t="shared" si="1"/>
        <v>69</v>
      </c>
      <c r="B70" t="s">
        <v>51</v>
      </c>
      <c r="C70" t="s">
        <v>44</v>
      </c>
      <c r="D70" t="s">
        <v>47</v>
      </c>
    </row>
    <row r="71" spans="1:4" x14ac:dyDescent="0.35">
      <c r="A71">
        <f t="shared" si="1"/>
        <v>70</v>
      </c>
      <c r="B71" t="s">
        <v>51</v>
      </c>
      <c r="C71" t="s">
        <v>44</v>
      </c>
      <c r="D71" t="s">
        <v>47</v>
      </c>
    </row>
    <row r="72" spans="1:4" x14ac:dyDescent="0.35">
      <c r="A72">
        <f t="shared" si="1"/>
        <v>71</v>
      </c>
      <c r="B72" t="s">
        <v>51</v>
      </c>
      <c r="C72" t="s">
        <v>44</v>
      </c>
      <c r="D72" t="s">
        <v>47</v>
      </c>
    </row>
    <row r="73" spans="1:4" x14ac:dyDescent="0.35">
      <c r="A73">
        <f t="shared" si="1"/>
        <v>72</v>
      </c>
      <c r="B73" t="s">
        <v>51</v>
      </c>
      <c r="C73" t="s">
        <v>44</v>
      </c>
      <c r="D73" t="s">
        <v>47</v>
      </c>
    </row>
    <row r="74" spans="1:4" x14ac:dyDescent="0.35">
      <c r="A74">
        <f t="shared" si="1"/>
        <v>73</v>
      </c>
      <c r="B74" t="s">
        <v>51</v>
      </c>
      <c r="C74" t="s">
        <v>44</v>
      </c>
      <c r="D74" t="s">
        <v>47</v>
      </c>
    </row>
    <row r="75" spans="1:4" x14ac:dyDescent="0.35">
      <c r="A75">
        <f t="shared" si="1"/>
        <v>74</v>
      </c>
      <c r="B75" t="s">
        <v>51</v>
      </c>
      <c r="C75" t="s">
        <v>44</v>
      </c>
      <c r="D75" t="s">
        <v>47</v>
      </c>
    </row>
    <row r="76" spans="1:4" x14ac:dyDescent="0.35">
      <c r="A76">
        <f t="shared" si="1"/>
        <v>75</v>
      </c>
      <c r="B76" t="s">
        <v>51</v>
      </c>
      <c r="C76" t="s">
        <v>44</v>
      </c>
      <c r="D76" t="s">
        <v>47</v>
      </c>
    </row>
    <row r="77" spans="1:4" x14ac:dyDescent="0.35">
      <c r="A77">
        <f t="shared" si="1"/>
        <v>76</v>
      </c>
      <c r="B77" t="s">
        <v>50</v>
      </c>
      <c r="C77" t="s">
        <v>45</v>
      </c>
      <c r="D77" t="s">
        <v>47</v>
      </c>
    </row>
    <row r="78" spans="1:4" x14ac:dyDescent="0.35">
      <c r="A78">
        <f t="shared" si="1"/>
        <v>77</v>
      </c>
      <c r="B78" t="s">
        <v>50</v>
      </c>
      <c r="C78" t="s">
        <v>45</v>
      </c>
      <c r="D78" t="s">
        <v>47</v>
      </c>
    </row>
    <row r="79" spans="1:4" x14ac:dyDescent="0.35">
      <c r="A79">
        <f t="shared" si="1"/>
        <v>78</v>
      </c>
      <c r="B79" t="s">
        <v>50</v>
      </c>
      <c r="C79" t="s">
        <v>45</v>
      </c>
      <c r="D79" t="s">
        <v>47</v>
      </c>
    </row>
    <row r="80" spans="1:4" x14ac:dyDescent="0.35">
      <c r="A80">
        <f t="shared" si="1"/>
        <v>79</v>
      </c>
      <c r="B80" t="s">
        <v>50</v>
      </c>
      <c r="C80" t="s">
        <v>45</v>
      </c>
      <c r="D80" t="s">
        <v>47</v>
      </c>
    </row>
    <row r="81" spans="1:4" x14ac:dyDescent="0.35">
      <c r="A81">
        <f t="shared" si="1"/>
        <v>80</v>
      </c>
      <c r="B81" t="s">
        <v>50</v>
      </c>
      <c r="C81" t="s">
        <v>45</v>
      </c>
      <c r="D81" t="s">
        <v>47</v>
      </c>
    </row>
    <row r="82" spans="1:4" x14ac:dyDescent="0.35">
      <c r="A82">
        <f t="shared" si="1"/>
        <v>81</v>
      </c>
      <c r="B82" t="s">
        <v>50</v>
      </c>
      <c r="C82" t="s">
        <v>45</v>
      </c>
      <c r="D82" t="s">
        <v>47</v>
      </c>
    </row>
    <row r="83" spans="1:4" x14ac:dyDescent="0.35">
      <c r="A83">
        <f t="shared" si="1"/>
        <v>82</v>
      </c>
      <c r="B83" t="s">
        <v>50</v>
      </c>
      <c r="C83" t="s">
        <v>45</v>
      </c>
      <c r="D83" t="s">
        <v>47</v>
      </c>
    </row>
    <row r="84" spans="1:4" x14ac:dyDescent="0.35">
      <c r="A84">
        <f t="shared" si="1"/>
        <v>83</v>
      </c>
      <c r="B84" t="s">
        <v>50</v>
      </c>
      <c r="C84" t="s">
        <v>45</v>
      </c>
      <c r="D84" t="s">
        <v>47</v>
      </c>
    </row>
    <row r="85" spans="1:4" x14ac:dyDescent="0.35">
      <c r="A85">
        <f t="shared" si="1"/>
        <v>84</v>
      </c>
      <c r="B85" t="s">
        <v>50</v>
      </c>
      <c r="C85" t="s">
        <v>45</v>
      </c>
      <c r="D85" t="s">
        <v>47</v>
      </c>
    </row>
    <row r="86" spans="1:4" x14ac:dyDescent="0.35">
      <c r="A86">
        <f t="shared" si="1"/>
        <v>85</v>
      </c>
      <c r="B86" t="s">
        <v>50</v>
      </c>
      <c r="C86" t="s">
        <v>45</v>
      </c>
      <c r="D86" t="s">
        <v>47</v>
      </c>
    </row>
    <row r="87" spans="1:4" x14ac:dyDescent="0.35">
      <c r="A87">
        <f t="shared" si="1"/>
        <v>86</v>
      </c>
      <c r="B87" t="s">
        <v>50</v>
      </c>
      <c r="C87" t="s">
        <v>45</v>
      </c>
      <c r="D87" t="s">
        <v>47</v>
      </c>
    </row>
    <row r="88" spans="1:4" x14ac:dyDescent="0.35">
      <c r="A88">
        <f t="shared" si="1"/>
        <v>87</v>
      </c>
      <c r="B88" t="s">
        <v>49</v>
      </c>
      <c r="C88" t="s">
        <v>45</v>
      </c>
      <c r="D88" t="s">
        <v>47</v>
      </c>
    </row>
    <row r="89" spans="1:4" x14ac:dyDescent="0.35">
      <c r="A89">
        <f t="shared" si="1"/>
        <v>88</v>
      </c>
      <c r="B89" t="s">
        <v>49</v>
      </c>
      <c r="C89" t="s">
        <v>45</v>
      </c>
      <c r="D89" t="s">
        <v>47</v>
      </c>
    </row>
    <row r="90" spans="1:4" x14ac:dyDescent="0.35">
      <c r="A90">
        <f t="shared" si="1"/>
        <v>89</v>
      </c>
      <c r="B90" t="s">
        <v>49</v>
      </c>
      <c r="C90" t="s">
        <v>45</v>
      </c>
      <c r="D90" t="s">
        <v>47</v>
      </c>
    </row>
    <row r="91" spans="1:4" x14ac:dyDescent="0.35">
      <c r="A91">
        <f t="shared" si="1"/>
        <v>90</v>
      </c>
      <c r="B91" t="s">
        <v>49</v>
      </c>
      <c r="C91" t="s">
        <v>45</v>
      </c>
      <c r="D91" t="s">
        <v>47</v>
      </c>
    </row>
    <row r="92" spans="1:4" x14ac:dyDescent="0.35">
      <c r="A92">
        <f t="shared" si="1"/>
        <v>91</v>
      </c>
      <c r="B92" t="s">
        <v>49</v>
      </c>
      <c r="C92" t="s">
        <v>45</v>
      </c>
      <c r="D92" t="s">
        <v>47</v>
      </c>
    </row>
    <row r="93" spans="1:4" x14ac:dyDescent="0.35">
      <c r="A93">
        <f t="shared" si="1"/>
        <v>92</v>
      </c>
      <c r="B93" t="s">
        <v>49</v>
      </c>
      <c r="C93" t="s">
        <v>45</v>
      </c>
      <c r="D93" t="s">
        <v>47</v>
      </c>
    </row>
    <row r="94" spans="1:4" x14ac:dyDescent="0.35">
      <c r="A94">
        <f t="shared" si="1"/>
        <v>93</v>
      </c>
      <c r="B94" t="s">
        <v>49</v>
      </c>
      <c r="C94" t="s">
        <v>45</v>
      </c>
      <c r="D94" t="s">
        <v>47</v>
      </c>
    </row>
    <row r="95" spans="1:4" x14ac:dyDescent="0.35">
      <c r="A95">
        <f t="shared" si="1"/>
        <v>94</v>
      </c>
      <c r="B95" t="s">
        <v>49</v>
      </c>
      <c r="C95" t="s">
        <v>45</v>
      </c>
      <c r="D95" t="s">
        <v>47</v>
      </c>
    </row>
    <row r="96" spans="1:4" x14ac:dyDescent="0.35">
      <c r="A96">
        <f t="shared" si="1"/>
        <v>95</v>
      </c>
      <c r="B96" t="s">
        <v>49</v>
      </c>
      <c r="C96" t="s">
        <v>45</v>
      </c>
      <c r="D96" t="s">
        <v>47</v>
      </c>
    </row>
    <row r="97" spans="1:4" x14ac:dyDescent="0.35">
      <c r="A97">
        <f t="shared" si="1"/>
        <v>96</v>
      </c>
      <c r="B97" t="s">
        <v>49</v>
      </c>
      <c r="C97" t="s">
        <v>45</v>
      </c>
      <c r="D97" t="s">
        <v>47</v>
      </c>
    </row>
    <row r="98" spans="1:4" x14ac:dyDescent="0.35">
      <c r="A98">
        <f t="shared" si="1"/>
        <v>97</v>
      </c>
      <c r="B98" t="s">
        <v>49</v>
      </c>
      <c r="C98" t="s">
        <v>45</v>
      </c>
      <c r="D98" t="s">
        <v>47</v>
      </c>
    </row>
    <row r="99" spans="1:4" x14ac:dyDescent="0.35">
      <c r="A99">
        <f t="shared" si="1"/>
        <v>98</v>
      </c>
      <c r="B99" t="s">
        <v>49</v>
      </c>
      <c r="C99" t="s">
        <v>45</v>
      </c>
      <c r="D99" t="s">
        <v>47</v>
      </c>
    </row>
    <row r="100" spans="1:4" x14ac:dyDescent="0.35">
      <c r="A100">
        <f t="shared" si="1"/>
        <v>99</v>
      </c>
      <c r="B100" t="s">
        <v>49</v>
      </c>
      <c r="C100" t="s">
        <v>45</v>
      </c>
      <c r="D100" t="s">
        <v>47</v>
      </c>
    </row>
    <row r="101" spans="1:4" x14ac:dyDescent="0.35">
      <c r="A101">
        <f t="shared" si="1"/>
        <v>100</v>
      </c>
      <c r="B101" t="s">
        <v>49</v>
      </c>
      <c r="C101" t="s">
        <v>45</v>
      </c>
      <c r="D101" t="s">
        <v>47</v>
      </c>
    </row>
    <row r="102" spans="1:4" x14ac:dyDescent="0.35">
      <c r="A102">
        <f t="shared" si="1"/>
        <v>101</v>
      </c>
      <c r="B102" t="s">
        <v>49</v>
      </c>
      <c r="C102" t="s">
        <v>45</v>
      </c>
      <c r="D102" t="s">
        <v>47</v>
      </c>
    </row>
    <row r="103" spans="1:4" x14ac:dyDescent="0.35">
      <c r="A103">
        <f t="shared" si="1"/>
        <v>102</v>
      </c>
      <c r="B103" t="s">
        <v>49</v>
      </c>
      <c r="C103" t="s">
        <v>45</v>
      </c>
      <c r="D103" t="s">
        <v>47</v>
      </c>
    </row>
    <row r="104" spans="1:4" x14ac:dyDescent="0.35">
      <c r="A104">
        <f t="shared" si="1"/>
        <v>103</v>
      </c>
      <c r="B104" t="s">
        <v>28</v>
      </c>
      <c r="C104" t="s">
        <v>46</v>
      </c>
      <c r="D104" t="s">
        <v>47</v>
      </c>
    </row>
    <row r="105" spans="1:4" x14ac:dyDescent="0.35">
      <c r="A105">
        <f t="shared" si="1"/>
        <v>104</v>
      </c>
      <c r="B105" t="s">
        <v>28</v>
      </c>
      <c r="C105" t="s">
        <v>46</v>
      </c>
      <c r="D105" t="s">
        <v>47</v>
      </c>
    </row>
    <row r="106" spans="1:4" x14ac:dyDescent="0.35">
      <c r="A106">
        <f t="shared" si="1"/>
        <v>105</v>
      </c>
      <c r="B106" t="s">
        <v>28</v>
      </c>
      <c r="C106" t="s">
        <v>46</v>
      </c>
      <c r="D106" t="s">
        <v>47</v>
      </c>
    </row>
    <row r="107" spans="1:4" x14ac:dyDescent="0.35">
      <c r="A107">
        <f t="shared" si="1"/>
        <v>106</v>
      </c>
      <c r="B107" t="s">
        <v>28</v>
      </c>
      <c r="C107" t="s">
        <v>46</v>
      </c>
      <c r="D107" t="s">
        <v>47</v>
      </c>
    </row>
    <row r="108" spans="1:4" x14ac:dyDescent="0.35">
      <c r="A108">
        <f t="shared" si="1"/>
        <v>107</v>
      </c>
      <c r="B108" t="s">
        <v>28</v>
      </c>
      <c r="C108" t="s">
        <v>46</v>
      </c>
      <c r="D108" t="s">
        <v>47</v>
      </c>
    </row>
    <row r="109" spans="1:4" x14ac:dyDescent="0.35">
      <c r="A109">
        <f t="shared" si="1"/>
        <v>108</v>
      </c>
      <c r="B109" t="s">
        <v>28</v>
      </c>
      <c r="C109" t="s">
        <v>46</v>
      </c>
      <c r="D109" t="s">
        <v>47</v>
      </c>
    </row>
    <row r="110" spans="1:4" x14ac:dyDescent="0.35">
      <c r="A110">
        <f t="shared" si="1"/>
        <v>109</v>
      </c>
      <c r="B110" t="s">
        <v>28</v>
      </c>
      <c r="C110" t="s">
        <v>46</v>
      </c>
      <c r="D110" t="s">
        <v>47</v>
      </c>
    </row>
    <row r="111" spans="1:4" x14ac:dyDescent="0.35">
      <c r="A111">
        <f t="shared" si="1"/>
        <v>110</v>
      </c>
      <c r="B111" t="s">
        <v>28</v>
      </c>
      <c r="C111" t="s">
        <v>46</v>
      </c>
      <c r="D111" t="s">
        <v>47</v>
      </c>
    </row>
    <row r="112" spans="1:4" x14ac:dyDescent="0.35">
      <c r="A112">
        <f t="shared" si="1"/>
        <v>111</v>
      </c>
      <c r="B112" t="s">
        <v>28</v>
      </c>
      <c r="C112" t="s">
        <v>46</v>
      </c>
      <c r="D112" t="s">
        <v>47</v>
      </c>
    </row>
    <row r="113" spans="1:4" x14ac:dyDescent="0.35">
      <c r="A113">
        <f t="shared" si="1"/>
        <v>112</v>
      </c>
      <c r="B113" t="s">
        <v>28</v>
      </c>
      <c r="C113" t="s">
        <v>46</v>
      </c>
      <c r="D113" t="s">
        <v>47</v>
      </c>
    </row>
    <row r="114" spans="1:4" x14ac:dyDescent="0.35">
      <c r="A114">
        <f t="shared" si="1"/>
        <v>113</v>
      </c>
      <c r="B114" t="s">
        <v>59</v>
      </c>
      <c r="C114" t="s">
        <v>46</v>
      </c>
      <c r="D114" t="s">
        <v>47</v>
      </c>
    </row>
    <row r="115" spans="1:4" x14ac:dyDescent="0.35">
      <c r="A115">
        <f t="shared" si="1"/>
        <v>114</v>
      </c>
      <c r="B115" t="s">
        <v>59</v>
      </c>
      <c r="C115" t="s">
        <v>46</v>
      </c>
      <c r="D115" t="s">
        <v>47</v>
      </c>
    </row>
    <row r="116" spans="1:4" x14ac:dyDescent="0.35">
      <c r="A116">
        <f t="shared" si="1"/>
        <v>115</v>
      </c>
      <c r="B116" t="s">
        <v>59</v>
      </c>
      <c r="C116" t="s">
        <v>46</v>
      </c>
      <c r="D116" t="s">
        <v>47</v>
      </c>
    </row>
    <row r="117" spans="1:4" x14ac:dyDescent="0.35">
      <c r="A117">
        <f t="shared" si="1"/>
        <v>116</v>
      </c>
      <c r="B117" t="s">
        <v>59</v>
      </c>
      <c r="C117" t="s">
        <v>46</v>
      </c>
      <c r="D117" t="s">
        <v>47</v>
      </c>
    </row>
    <row r="118" spans="1:4" x14ac:dyDescent="0.35">
      <c r="A118">
        <f t="shared" si="1"/>
        <v>117</v>
      </c>
      <c r="B118" t="s">
        <v>59</v>
      </c>
      <c r="C118" t="s">
        <v>46</v>
      </c>
      <c r="D118" t="s">
        <v>47</v>
      </c>
    </row>
    <row r="119" spans="1:4" x14ac:dyDescent="0.35">
      <c r="A119">
        <f t="shared" si="1"/>
        <v>118</v>
      </c>
      <c r="B119" t="s">
        <v>59</v>
      </c>
      <c r="C119" t="s">
        <v>46</v>
      </c>
      <c r="D119" t="s">
        <v>47</v>
      </c>
    </row>
    <row r="120" spans="1:4" x14ac:dyDescent="0.35">
      <c r="A120">
        <f t="shared" si="1"/>
        <v>119</v>
      </c>
      <c r="B120" t="s">
        <v>59</v>
      </c>
      <c r="C120" t="s">
        <v>46</v>
      </c>
      <c r="D120" t="s">
        <v>47</v>
      </c>
    </row>
    <row r="121" spans="1:4" x14ac:dyDescent="0.35">
      <c r="A121">
        <f t="shared" si="1"/>
        <v>120</v>
      </c>
      <c r="B121" t="s">
        <v>59</v>
      </c>
      <c r="C121" t="s">
        <v>46</v>
      </c>
      <c r="D121" t="s">
        <v>47</v>
      </c>
    </row>
    <row r="122" spans="1:4" x14ac:dyDescent="0.35">
      <c r="B122" s="5"/>
    </row>
    <row r="125" spans="1:4" x14ac:dyDescent="0.35">
      <c r="C125" s="10"/>
      <c r="D125" s="10"/>
    </row>
    <row r="126" spans="1:4" x14ac:dyDescent="0.35">
      <c r="B126" s="9"/>
      <c r="C126" s="11"/>
      <c r="D126" s="11"/>
    </row>
    <row r="127" spans="1:4" x14ac:dyDescent="0.35">
      <c r="B127" s="9"/>
      <c r="C127" s="11"/>
      <c r="D127" s="11"/>
    </row>
    <row r="128" spans="1:4" x14ac:dyDescent="0.35">
      <c r="B128" s="9"/>
      <c r="C128" s="11"/>
      <c r="D128" s="11"/>
    </row>
    <row r="129" spans="2:6" x14ac:dyDescent="0.35">
      <c r="B129" s="9"/>
      <c r="C129" s="11"/>
      <c r="D129" s="11"/>
    </row>
    <row r="130" spans="2:6" x14ac:dyDescent="0.35">
      <c r="B130" s="9"/>
      <c r="C130" s="11"/>
      <c r="D130" s="11"/>
    </row>
    <row r="131" spans="2:6" x14ac:dyDescent="0.35">
      <c r="B131" s="9"/>
      <c r="C131" s="2"/>
      <c r="D131" s="2"/>
    </row>
    <row r="137" spans="2:6" x14ac:dyDescent="0.35">
      <c r="D137" s="2"/>
    </row>
    <row r="138" spans="2:6" x14ac:dyDescent="0.35">
      <c r="F138" s="13"/>
    </row>
    <row r="139" spans="2:6" x14ac:dyDescent="0.35">
      <c r="C139" s="9"/>
      <c r="D139" s="9"/>
      <c r="F139" s="14"/>
    </row>
    <row r="140" spans="2:6" x14ac:dyDescent="0.35">
      <c r="B140" s="1"/>
      <c r="C140" s="2"/>
      <c r="D140" s="15"/>
      <c r="F140" s="14"/>
    </row>
    <row r="141" spans="2:6" x14ac:dyDescent="0.35">
      <c r="B141" s="1"/>
      <c r="C141" s="2"/>
      <c r="D141" s="15"/>
      <c r="F141" s="14"/>
    </row>
    <row r="142" spans="2:6" x14ac:dyDescent="0.35">
      <c r="B142" s="1"/>
      <c r="C142" s="2"/>
      <c r="D142" s="15"/>
      <c r="F142" s="14"/>
    </row>
    <row r="143" spans="2:6" x14ac:dyDescent="0.35">
      <c r="B143" s="1"/>
      <c r="C143" s="2"/>
      <c r="D143" s="15"/>
      <c r="F143" s="14"/>
    </row>
    <row r="144" spans="2:6" x14ac:dyDescent="0.35">
      <c r="B144" s="1"/>
      <c r="C144" s="2"/>
      <c r="D144" s="15"/>
      <c r="F144" s="14"/>
    </row>
    <row r="145" spans="2:4" x14ac:dyDescent="0.35">
      <c r="B145" s="5"/>
      <c r="C145" s="7"/>
      <c r="D145" s="6"/>
    </row>
    <row r="147" spans="2:4" x14ac:dyDescent="0.35">
      <c r="B147" s="16"/>
      <c r="C147" s="9"/>
      <c r="D147" s="9"/>
    </row>
    <row r="148" spans="2:4" x14ac:dyDescent="0.35">
      <c r="B148" s="1"/>
      <c r="C148" s="14"/>
      <c r="D148" s="14"/>
    </row>
    <row r="149" spans="2:4" x14ac:dyDescent="0.35">
      <c r="B149" s="1"/>
      <c r="C149" s="14"/>
      <c r="D149" s="14"/>
    </row>
    <row r="150" spans="2:4" x14ac:dyDescent="0.35">
      <c r="B150" s="1"/>
      <c r="C150" s="14"/>
      <c r="D150" s="14"/>
    </row>
    <row r="151" spans="2:4" x14ac:dyDescent="0.35">
      <c r="B151" s="1"/>
      <c r="C151" s="14"/>
      <c r="D151" s="14"/>
    </row>
    <row r="152" spans="2:4" x14ac:dyDescent="0.35">
      <c r="B152" s="1"/>
      <c r="C152" s="14"/>
      <c r="D152" s="14"/>
    </row>
    <row r="153" spans="2:4" x14ac:dyDescent="0.35">
      <c r="B153" s="1"/>
      <c r="C153" s="14"/>
      <c r="D153" s="14"/>
    </row>
    <row r="154" spans="2:4" x14ac:dyDescent="0.35">
      <c r="B154" s="1"/>
      <c r="C154" s="14"/>
      <c r="D154" s="14"/>
    </row>
    <row r="155" spans="2:4" x14ac:dyDescent="0.35">
      <c r="B155" s="1"/>
      <c r="C155" s="14"/>
      <c r="D155" s="14"/>
    </row>
    <row r="156" spans="2:4" x14ac:dyDescent="0.35">
      <c r="B156" s="1"/>
      <c r="C156" s="14"/>
      <c r="D156" s="14"/>
    </row>
    <row r="157" spans="2:4" x14ac:dyDescent="0.35">
      <c r="B157" s="1"/>
      <c r="C157" s="14"/>
      <c r="D157" s="14"/>
    </row>
    <row r="158" spans="2:4" x14ac:dyDescent="0.35">
      <c r="B158" s="1"/>
      <c r="C158" s="14"/>
      <c r="D158" s="14"/>
    </row>
    <row r="159" spans="2:4" x14ac:dyDescent="0.35">
      <c r="B159" s="1"/>
      <c r="C159" s="14"/>
      <c r="D159" s="14"/>
    </row>
    <row r="160" spans="2:4" x14ac:dyDescent="0.35">
      <c r="B160" s="1"/>
      <c r="C160" s="14"/>
      <c r="D160" s="14"/>
    </row>
    <row r="161" spans="2:4" x14ac:dyDescent="0.35">
      <c r="B161" s="1"/>
      <c r="C161" s="14"/>
      <c r="D161" s="14"/>
    </row>
    <row r="162" spans="2:4" x14ac:dyDescent="0.35">
      <c r="B162" s="1"/>
      <c r="C162" s="14"/>
      <c r="D162" s="14"/>
    </row>
    <row r="163" spans="2:4" x14ac:dyDescent="0.35">
      <c r="B163" s="1"/>
      <c r="C163" s="14"/>
      <c r="D163" s="14"/>
    </row>
    <row r="183" spans="4:4" x14ac:dyDescent="0.35">
      <c r="D183" s="2"/>
    </row>
  </sheetData>
  <printOptions horizontalCentered="1"/>
  <pageMargins left="0.70866141732283472" right="0.70866141732283472" top="0.74803149606299213" bottom="0.74803149606299213" header="0.31496062992125984" footer="0.31496062992125984"/>
  <pageSetup scale="70" fitToHeight="3" orientation="landscape" r:id="rId1"/>
  <headerFooter>
    <oddHeader>Página &amp;P</oddHeader>
    <oddFooter>&amp;LDiego Carrasco Neira&amp;CPágina &amp;P&amp;RJunio 2023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AB39-261E-4896-9886-9FF9444B4FA6}">
  <dimension ref="A1:C121"/>
  <sheetViews>
    <sheetView workbookViewId="0">
      <pane ySplit="1" topLeftCell="A87" activePane="bottomLeft" state="frozen"/>
      <selection pane="bottomLeft" activeCell="E12" sqref="E12"/>
    </sheetView>
  </sheetViews>
  <sheetFormatPr baseColWidth="10" defaultRowHeight="14.5" x14ac:dyDescent="0.35"/>
  <cols>
    <col min="1" max="1" width="16.6328125" bestFit="1" customWidth="1"/>
    <col min="2" max="2" width="24.6328125" style="8" bestFit="1" customWidth="1"/>
    <col min="3" max="3" width="22.6328125" bestFit="1" customWidth="1"/>
  </cols>
  <sheetData>
    <row r="1" spans="1:3" ht="20" thickBot="1" x14ac:dyDescent="0.5">
      <c r="A1" s="29" t="s">
        <v>37</v>
      </c>
      <c r="B1" s="25" t="s">
        <v>64</v>
      </c>
      <c r="C1" s="25" t="s">
        <v>65</v>
      </c>
    </row>
    <row r="2" spans="1:3" ht="15" thickTop="1" x14ac:dyDescent="0.35">
      <c r="A2">
        <v>40</v>
      </c>
      <c r="B2" s="8" t="s">
        <v>60</v>
      </c>
      <c r="C2" t="s">
        <v>10</v>
      </c>
    </row>
    <row r="3" spans="1:3" x14ac:dyDescent="0.35">
      <c r="A3">
        <v>41</v>
      </c>
      <c r="B3" s="8" t="s">
        <v>60</v>
      </c>
      <c r="C3" t="s">
        <v>9</v>
      </c>
    </row>
    <row r="4" spans="1:3" x14ac:dyDescent="0.35">
      <c r="A4">
        <v>75</v>
      </c>
      <c r="B4" s="8" t="s">
        <v>60</v>
      </c>
      <c r="C4" t="s">
        <v>10</v>
      </c>
    </row>
    <row r="5" spans="1:3" x14ac:dyDescent="0.35">
      <c r="A5">
        <v>87</v>
      </c>
      <c r="B5" s="8" t="s">
        <v>60</v>
      </c>
      <c r="C5" t="s">
        <v>10</v>
      </c>
    </row>
    <row r="6" spans="1:3" x14ac:dyDescent="0.35">
      <c r="A6">
        <v>88</v>
      </c>
      <c r="B6" s="8" t="s">
        <v>60</v>
      </c>
      <c r="C6" t="s">
        <v>8</v>
      </c>
    </row>
    <row r="7" spans="1:3" x14ac:dyDescent="0.35">
      <c r="A7">
        <v>89</v>
      </c>
      <c r="B7" s="8" t="s">
        <v>60</v>
      </c>
      <c r="C7" t="s">
        <v>9</v>
      </c>
    </row>
    <row r="8" spans="1:3" x14ac:dyDescent="0.35">
      <c r="A8">
        <v>99</v>
      </c>
      <c r="B8" s="8" t="s">
        <v>60</v>
      </c>
      <c r="C8" t="s">
        <v>8</v>
      </c>
    </row>
    <row r="9" spans="1:3" x14ac:dyDescent="0.35">
      <c r="A9">
        <v>1</v>
      </c>
      <c r="B9" s="8" t="s">
        <v>61</v>
      </c>
      <c r="C9" t="s">
        <v>16</v>
      </c>
    </row>
    <row r="10" spans="1:3" x14ac:dyDescent="0.35">
      <c r="A10">
        <v>2</v>
      </c>
      <c r="B10" s="8" t="s">
        <v>61</v>
      </c>
      <c r="C10" t="s">
        <v>11</v>
      </c>
    </row>
    <row r="11" spans="1:3" x14ac:dyDescent="0.35">
      <c r="A11">
        <v>3</v>
      </c>
      <c r="B11" s="8" t="s">
        <v>61</v>
      </c>
      <c r="C11" t="s">
        <v>12</v>
      </c>
    </row>
    <row r="12" spans="1:3" x14ac:dyDescent="0.35">
      <c r="A12">
        <v>5</v>
      </c>
      <c r="B12" s="8" t="s">
        <v>61</v>
      </c>
      <c r="C12" t="s">
        <v>12</v>
      </c>
    </row>
    <row r="13" spans="1:3" x14ac:dyDescent="0.35">
      <c r="A13">
        <v>6</v>
      </c>
      <c r="B13" s="8" t="s">
        <v>61</v>
      </c>
      <c r="C13" t="s">
        <v>11</v>
      </c>
    </row>
    <row r="14" spans="1:3" x14ac:dyDescent="0.35">
      <c r="A14">
        <v>10</v>
      </c>
      <c r="B14" s="8" t="s">
        <v>61</v>
      </c>
      <c r="C14" t="s">
        <v>16</v>
      </c>
    </row>
    <row r="15" spans="1:3" x14ac:dyDescent="0.35">
      <c r="A15">
        <v>11</v>
      </c>
      <c r="B15" s="8" t="s">
        <v>61</v>
      </c>
      <c r="C15" t="s">
        <v>17</v>
      </c>
    </row>
    <row r="16" spans="1:3" x14ac:dyDescent="0.35">
      <c r="A16">
        <v>12</v>
      </c>
      <c r="B16" s="8" t="s">
        <v>61</v>
      </c>
      <c r="C16" t="s">
        <v>12</v>
      </c>
    </row>
    <row r="17" spans="1:3" x14ac:dyDescent="0.35">
      <c r="A17">
        <v>17</v>
      </c>
      <c r="B17" s="8" t="s">
        <v>61</v>
      </c>
      <c r="C17" t="s">
        <v>16</v>
      </c>
    </row>
    <row r="18" spans="1:3" x14ac:dyDescent="0.35">
      <c r="A18">
        <v>18</v>
      </c>
      <c r="B18" s="8" t="s">
        <v>61</v>
      </c>
      <c r="C18" t="s">
        <v>12</v>
      </c>
    </row>
    <row r="19" spans="1:3" x14ac:dyDescent="0.35">
      <c r="A19">
        <v>19</v>
      </c>
      <c r="B19" s="8" t="s">
        <v>61</v>
      </c>
      <c r="C19" t="s">
        <v>18</v>
      </c>
    </row>
    <row r="20" spans="1:3" x14ac:dyDescent="0.35">
      <c r="A20">
        <v>20</v>
      </c>
      <c r="B20" s="8" t="s">
        <v>61</v>
      </c>
      <c r="C20" t="s">
        <v>19</v>
      </c>
    </row>
    <row r="21" spans="1:3" x14ac:dyDescent="0.35">
      <c r="A21">
        <v>21</v>
      </c>
      <c r="B21" s="8" t="s">
        <v>61</v>
      </c>
      <c r="C21" t="s">
        <v>18</v>
      </c>
    </row>
    <row r="22" spans="1:3" x14ac:dyDescent="0.35">
      <c r="A22">
        <v>22</v>
      </c>
      <c r="B22" s="8" t="s">
        <v>61</v>
      </c>
      <c r="C22" t="s">
        <v>16</v>
      </c>
    </row>
    <row r="23" spans="1:3" x14ac:dyDescent="0.35">
      <c r="A23">
        <v>27</v>
      </c>
      <c r="B23" s="8" t="s">
        <v>61</v>
      </c>
      <c r="C23" t="s">
        <v>12</v>
      </c>
    </row>
    <row r="24" spans="1:3" x14ac:dyDescent="0.35">
      <c r="A24">
        <v>28</v>
      </c>
      <c r="B24" s="8" t="s">
        <v>61</v>
      </c>
      <c r="C24" t="s">
        <v>16</v>
      </c>
    </row>
    <row r="25" spans="1:3" x14ac:dyDescent="0.35">
      <c r="A25">
        <v>34</v>
      </c>
      <c r="B25" s="8" t="s">
        <v>61</v>
      </c>
      <c r="C25" t="s">
        <v>16</v>
      </c>
    </row>
    <row r="26" spans="1:3" x14ac:dyDescent="0.35">
      <c r="A26">
        <v>35</v>
      </c>
      <c r="B26" s="8" t="s">
        <v>61</v>
      </c>
      <c r="C26" t="s">
        <v>12</v>
      </c>
    </row>
    <row r="27" spans="1:3" x14ac:dyDescent="0.35">
      <c r="A27">
        <v>36</v>
      </c>
      <c r="B27" s="8" t="s">
        <v>61</v>
      </c>
      <c r="C27" t="s">
        <v>18</v>
      </c>
    </row>
    <row r="28" spans="1:3" x14ac:dyDescent="0.35">
      <c r="A28">
        <v>37</v>
      </c>
      <c r="B28" s="8" t="s">
        <v>61</v>
      </c>
      <c r="C28" t="s">
        <v>19</v>
      </c>
    </row>
    <row r="29" spans="1:3" x14ac:dyDescent="0.35">
      <c r="A29">
        <v>38</v>
      </c>
      <c r="B29" s="8" t="s">
        <v>61</v>
      </c>
      <c r="C29" t="s">
        <v>20</v>
      </c>
    </row>
    <row r="30" spans="1:3" x14ac:dyDescent="0.35">
      <c r="A30">
        <v>39</v>
      </c>
      <c r="B30" s="8" t="s">
        <v>61</v>
      </c>
      <c r="C30" t="s">
        <v>21</v>
      </c>
    </row>
    <row r="31" spans="1:3" x14ac:dyDescent="0.35">
      <c r="A31">
        <v>42</v>
      </c>
      <c r="B31" s="8" t="s">
        <v>61</v>
      </c>
      <c r="C31" t="s">
        <v>16</v>
      </c>
    </row>
    <row r="32" spans="1:3" x14ac:dyDescent="0.35">
      <c r="A32">
        <v>43</v>
      </c>
      <c r="B32" s="8" t="s">
        <v>61</v>
      </c>
      <c r="C32" t="s">
        <v>12</v>
      </c>
    </row>
    <row r="33" spans="1:3" x14ac:dyDescent="0.35">
      <c r="A33">
        <v>44</v>
      </c>
      <c r="B33" s="8" t="s">
        <v>61</v>
      </c>
      <c r="C33" t="s">
        <v>18</v>
      </c>
    </row>
    <row r="34" spans="1:3" x14ac:dyDescent="0.35">
      <c r="A34">
        <v>47</v>
      </c>
      <c r="B34" s="8" t="s">
        <v>61</v>
      </c>
      <c r="C34" t="s">
        <v>18</v>
      </c>
    </row>
    <row r="35" spans="1:3" x14ac:dyDescent="0.35">
      <c r="A35">
        <v>48</v>
      </c>
      <c r="B35" s="8" t="s">
        <v>61</v>
      </c>
      <c r="C35" t="s">
        <v>16</v>
      </c>
    </row>
    <row r="36" spans="1:3" x14ac:dyDescent="0.35">
      <c r="A36">
        <v>49</v>
      </c>
      <c r="B36" s="8" t="s">
        <v>61</v>
      </c>
      <c r="C36" t="s">
        <v>18</v>
      </c>
    </row>
    <row r="37" spans="1:3" x14ac:dyDescent="0.35">
      <c r="A37">
        <v>50</v>
      </c>
      <c r="B37" s="8" t="s">
        <v>61</v>
      </c>
      <c r="C37" t="s">
        <v>12</v>
      </c>
    </row>
    <row r="38" spans="1:3" x14ac:dyDescent="0.35">
      <c r="A38">
        <v>57</v>
      </c>
      <c r="B38" s="8" t="s">
        <v>61</v>
      </c>
      <c r="C38" t="s">
        <v>16</v>
      </c>
    </row>
    <row r="39" spans="1:3" x14ac:dyDescent="0.35">
      <c r="A39">
        <v>58</v>
      </c>
      <c r="B39" s="8" t="s">
        <v>61</v>
      </c>
      <c r="C39" t="s">
        <v>12</v>
      </c>
    </row>
    <row r="40" spans="1:3" x14ac:dyDescent="0.35">
      <c r="A40">
        <v>63</v>
      </c>
      <c r="B40" s="8" t="s">
        <v>61</v>
      </c>
      <c r="C40" t="s">
        <v>16</v>
      </c>
    </row>
    <row r="41" spans="1:3" x14ac:dyDescent="0.35">
      <c r="A41">
        <v>64</v>
      </c>
      <c r="B41" s="8" t="s">
        <v>61</v>
      </c>
      <c r="C41" t="s">
        <v>18</v>
      </c>
    </row>
    <row r="42" spans="1:3" x14ac:dyDescent="0.35">
      <c r="A42">
        <v>65</v>
      </c>
      <c r="B42" s="8" t="s">
        <v>61</v>
      </c>
      <c r="C42" t="s">
        <v>12</v>
      </c>
    </row>
    <row r="43" spans="1:3" x14ac:dyDescent="0.35">
      <c r="A43">
        <v>66</v>
      </c>
      <c r="B43" s="8" t="s">
        <v>61</v>
      </c>
      <c r="C43" t="s">
        <v>16</v>
      </c>
    </row>
    <row r="44" spans="1:3" x14ac:dyDescent="0.35">
      <c r="A44">
        <v>67</v>
      </c>
      <c r="B44" s="8" t="s">
        <v>61</v>
      </c>
      <c r="C44" t="s">
        <v>12</v>
      </c>
    </row>
    <row r="45" spans="1:3" x14ac:dyDescent="0.35">
      <c r="A45">
        <v>76</v>
      </c>
      <c r="B45" s="8" t="s">
        <v>61</v>
      </c>
      <c r="C45" t="s">
        <v>16</v>
      </c>
    </row>
    <row r="46" spans="1:3" x14ac:dyDescent="0.35">
      <c r="A46">
        <v>77</v>
      </c>
      <c r="B46" s="8" t="s">
        <v>61</v>
      </c>
      <c r="C46" t="s">
        <v>12</v>
      </c>
    </row>
    <row r="47" spans="1:3" x14ac:dyDescent="0.35">
      <c r="A47">
        <v>78</v>
      </c>
      <c r="B47" s="8" t="s">
        <v>61</v>
      </c>
      <c r="C47" t="s">
        <v>18</v>
      </c>
    </row>
    <row r="48" spans="1:3" x14ac:dyDescent="0.35">
      <c r="A48">
        <v>79</v>
      </c>
      <c r="B48" s="8" t="s">
        <v>61</v>
      </c>
      <c r="C48" t="s">
        <v>20</v>
      </c>
    </row>
    <row r="49" spans="1:3" x14ac:dyDescent="0.35">
      <c r="A49">
        <v>80</v>
      </c>
      <c r="B49" s="8" t="s">
        <v>61</v>
      </c>
      <c r="C49" t="s">
        <v>21</v>
      </c>
    </row>
    <row r="50" spans="1:3" x14ac:dyDescent="0.35">
      <c r="A50">
        <v>90</v>
      </c>
      <c r="B50" s="8" t="s">
        <v>61</v>
      </c>
      <c r="C50" t="s">
        <v>21</v>
      </c>
    </row>
    <row r="51" spans="1:3" x14ac:dyDescent="0.35">
      <c r="A51">
        <v>91</v>
      </c>
      <c r="B51" s="8" t="s">
        <v>61</v>
      </c>
      <c r="C51" t="s">
        <v>20</v>
      </c>
    </row>
    <row r="52" spans="1:3" x14ac:dyDescent="0.35">
      <c r="A52">
        <v>92</v>
      </c>
      <c r="B52" s="8" t="s">
        <v>61</v>
      </c>
      <c r="C52" t="s">
        <v>19</v>
      </c>
    </row>
    <row r="53" spans="1:3" x14ac:dyDescent="0.35">
      <c r="A53">
        <v>93</v>
      </c>
      <c r="B53" s="8" t="s">
        <v>61</v>
      </c>
      <c r="C53" t="s">
        <v>18</v>
      </c>
    </row>
    <row r="54" spans="1:3" x14ac:dyDescent="0.35">
      <c r="A54">
        <v>94</v>
      </c>
      <c r="B54" s="8" t="s">
        <v>61</v>
      </c>
      <c r="C54" t="s">
        <v>16</v>
      </c>
    </row>
    <row r="55" spans="1:3" x14ac:dyDescent="0.35">
      <c r="A55">
        <v>100</v>
      </c>
      <c r="B55" s="8" t="s">
        <v>61</v>
      </c>
      <c r="C55" t="s">
        <v>21</v>
      </c>
    </row>
    <row r="56" spans="1:3" x14ac:dyDescent="0.35">
      <c r="A56">
        <v>101</v>
      </c>
      <c r="B56" s="8" t="s">
        <v>61</v>
      </c>
      <c r="C56" t="s">
        <v>20</v>
      </c>
    </row>
    <row r="57" spans="1:3" x14ac:dyDescent="0.35">
      <c r="A57">
        <v>102</v>
      </c>
      <c r="B57" s="8" t="s">
        <v>61</v>
      </c>
      <c r="C57" t="s">
        <v>19</v>
      </c>
    </row>
    <row r="58" spans="1:3" x14ac:dyDescent="0.35">
      <c r="A58">
        <v>106</v>
      </c>
      <c r="B58" s="8" t="s">
        <v>61</v>
      </c>
      <c r="C58" t="s">
        <v>21</v>
      </c>
    </row>
    <row r="59" spans="1:3" x14ac:dyDescent="0.35">
      <c r="A59">
        <v>107</v>
      </c>
      <c r="B59" s="8" t="s">
        <v>61</v>
      </c>
      <c r="C59" t="s">
        <v>12</v>
      </c>
    </row>
    <row r="60" spans="1:3" x14ac:dyDescent="0.35">
      <c r="A60">
        <v>108</v>
      </c>
      <c r="B60" s="8" t="s">
        <v>61</v>
      </c>
      <c r="C60" t="s">
        <v>18</v>
      </c>
    </row>
    <row r="61" spans="1:3" x14ac:dyDescent="0.35">
      <c r="A61">
        <v>109</v>
      </c>
      <c r="B61" s="8" t="s">
        <v>61</v>
      </c>
      <c r="C61" t="s">
        <v>19</v>
      </c>
    </row>
    <row r="62" spans="1:3" x14ac:dyDescent="0.35">
      <c r="A62">
        <v>110</v>
      </c>
      <c r="B62" s="8" t="s">
        <v>61</v>
      </c>
      <c r="C62" t="s">
        <v>16</v>
      </c>
    </row>
    <row r="63" spans="1:3" x14ac:dyDescent="0.35">
      <c r="A63">
        <v>111</v>
      </c>
      <c r="B63" s="8" t="s">
        <v>61</v>
      </c>
      <c r="C63" t="s">
        <v>20</v>
      </c>
    </row>
    <row r="64" spans="1:3" x14ac:dyDescent="0.35">
      <c r="A64">
        <v>112</v>
      </c>
      <c r="B64" s="8" t="s">
        <v>61</v>
      </c>
      <c r="C64" t="s">
        <v>20</v>
      </c>
    </row>
    <row r="65" spans="1:3" x14ac:dyDescent="0.35">
      <c r="A65">
        <v>113</v>
      </c>
      <c r="B65" s="8" t="s">
        <v>61</v>
      </c>
      <c r="C65" t="s">
        <v>21</v>
      </c>
    </row>
    <row r="66" spans="1:3" x14ac:dyDescent="0.35">
      <c r="A66">
        <v>114</v>
      </c>
      <c r="B66" s="8" t="s">
        <v>61</v>
      </c>
      <c r="C66" t="s">
        <v>12</v>
      </c>
    </row>
    <row r="67" spans="1:3" x14ac:dyDescent="0.35">
      <c r="A67">
        <v>115</v>
      </c>
      <c r="B67" s="8" t="s">
        <v>61</v>
      </c>
      <c r="C67" t="s">
        <v>16</v>
      </c>
    </row>
    <row r="68" spans="1:3" x14ac:dyDescent="0.35">
      <c r="A68">
        <v>116</v>
      </c>
      <c r="B68" s="8" t="s">
        <v>61</v>
      </c>
      <c r="C68" t="s">
        <v>19</v>
      </c>
    </row>
    <row r="69" spans="1:3" x14ac:dyDescent="0.35">
      <c r="A69">
        <v>117</v>
      </c>
      <c r="B69" s="8" t="s">
        <v>61</v>
      </c>
      <c r="C69" t="s">
        <v>18</v>
      </c>
    </row>
    <row r="70" spans="1:3" x14ac:dyDescent="0.35">
      <c r="A70">
        <v>15</v>
      </c>
      <c r="B70" s="8" t="s">
        <v>4</v>
      </c>
      <c r="C70" t="s">
        <v>5</v>
      </c>
    </row>
    <row r="71" spans="1:3" x14ac:dyDescent="0.35">
      <c r="A71">
        <v>16</v>
      </c>
      <c r="B71" s="8" t="s">
        <v>4</v>
      </c>
      <c r="C71" t="s">
        <v>6</v>
      </c>
    </row>
    <row r="72" spans="1:3" x14ac:dyDescent="0.35">
      <c r="A72">
        <v>26</v>
      </c>
      <c r="B72" s="8" t="s">
        <v>4</v>
      </c>
      <c r="C72" t="s">
        <v>6</v>
      </c>
    </row>
    <row r="73" spans="1:3" x14ac:dyDescent="0.35">
      <c r="A73">
        <v>45</v>
      </c>
      <c r="B73" s="8" t="s">
        <v>4</v>
      </c>
      <c r="C73" t="s">
        <v>7</v>
      </c>
    </row>
    <row r="74" spans="1:3" x14ac:dyDescent="0.35">
      <c r="A74">
        <v>46</v>
      </c>
      <c r="B74" s="8" t="s">
        <v>4</v>
      </c>
      <c r="C74" t="s">
        <v>5</v>
      </c>
    </row>
    <row r="75" spans="1:3" x14ac:dyDescent="0.35">
      <c r="A75">
        <v>55</v>
      </c>
      <c r="B75" s="8" t="s">
        <v>4</v>
      </c>
      <c r="C75" t="s">
        <v>5</v>
      </c>
    </row>
    <row r="76" spans="1:3" x14ac:dyDescent="0.35">
      <c r="A76">
        <v>56</v>
      </c>
      <c r="B76" s="8" t="s">
        <v>4</v>
      </c>
      <c r="C76" t="s">
        <v>6</v>
      </c>
    </row>
    <row r="77" spans="1:3" x14ac:dyDescent="0.35">
      <c r="A77">
        <v>62</v>
      </c>
      <c r="B77" s="8" t="s">
        <v>4</v>
      </c>
      <c r="C77" t="s">
        <v>6</v>
      </c>
    </row>
    <row r="78" spans="1:3" x14ac:dyDescent="0.35">
      <c r="A78">
        <v>68</v>
      </c>
      <c r="B78" s="8" t="s">
        <v>4</v>
      </c>
      <c r="C78" t="s">
        <v>5</v>
      </c>
    </row>
    <row r="79" spans="1:3" x14ac:dyDescent="0.35">
      <c r="A79">
        <v>69</v>
      </c>
      <c r="B79" s="8" t="s">
        <v>4</v>
      </c>
      <c r="C79" t="s">
        <v>7</v>
      </c>
    </row>
    <row r="80" spans="1:3" x14ac:dyDescent="0.35">
      <c r="A80">
        <v>4</v>
      </c>
      <c r="B80" s="8" t="s">
        <v>62</v>
      </c>
      <c r="C80" t="s">
        <v>26</v>
      </c>
    </row>
    <row r="81" spans="1:3" x14ac:dyDescent="0.35">
      <c r="A81">
        <v>7</v>
      </c>
      <c r="B81" s="8" t="s">
        <v>62</v>
      </c>
      <c r="C81" t="s">
        <v>25</v>
      </c>
    </row>
    <row r="82" spans="1:3" x14ac:dyDescent="0.35">
      <c r="A82">
        <v>8</v>
      </c>
      <c r="B82" s="8" t="s">
        <v>62</v>
      </c>
      <c r="C82" t="s">
        <v>23</v>
      </c>
    </row>
    <row r="83" spans="1:3" x14ac:dyDescent="0.35">
      <c r="A83">
        <v>51</v>
      </c>
      <c r="B83" s="8" t="s">
        <v>62</v>
      </c>
      <c r="C83" t="s">
        <v>25</v>
      </c>
    </row>
    <row r="84" spans="1:3" x14ac:dyDescent="0.35">
      <c r="A84">
        <v>52</v>
      </c>
      <c r="B84" s="8" t="s">
        <v>62</v>
      </c>
      <c r="C84" t="s">
        <v>24</v>
      </c>
    </row>
    <row r="85" spans="1:3" x14ac:dyDescent="0.35">
      <c r="A85">
        <v>53</v>
      </c>
      <c r="B85" s="8" t="s">
        <v>62</v>
      </c>
      <c r="C85" t="s">
        <v>25</v>
      </c>
    </row>
    <row r="86" spans="1:3" x14ac:dyDescent="0.35">
      <c r="A86">
        <v>54</v>
      </c>
      <c r="B86" s="8" t="s">
        <v>62</v>
      </c>
      <c r="C86" t="s">
        <v>23</v>
      </c>
    </row>
    <row r="87" spans="1:3" x14ac:dyDescent="0.35">
      <c r="A87">
        <v>60</v>
      </c>
      <c r="B87" s="8" t="s">
        <v>62</v>
      </c>
      <c r="C87" t="s">
        <v>23</v>
      </c>
    </row>
    <row r="88" spans="1:3" x14ac:dyDescent="0.35">
      <c r="A88">
        <v>61</v>
      </c>
      <c r="B88" s="8" t="s">
        <v>62</v>
      </c>
      <c r="C88" t="s">
        <v>26</v>
      </c>
    </row>
    <row r="89" spans="1:3" x14ac:dyDescent="0.35">
      <c r="A89">
        <v>70</v>
      </c>
      <c r="B89" s="8" t="s">
        <v>62</v>
      </c>
      <c r="C89" t="s">
        <v>27</v>
      </c>
    </row>
    <row r="90" spans="1:3" x14ac:dyDescent="0.35">
      <c r="A90">
        <v>71</v>
      </c>
      <c r="B90" s="8" t="s">
        <v>62</v>
      </c>
      <c r="C90" t="s">
        <v>22</v>
      </c>
    </row>
    <row r="91" spans="1:3" x14ac:dyDescent="0.35">
      <c r="A91">
        <v>81</v>
      </c>
      <c r="B91" s="8" t="s">
        <v>62</v>
      </c>
      <c r="C91" t="s">
        <v>22</v>
      </c>
    </row>
    <row r="92" spans="1:3" x14ac:dyDescent="0.35">
      <c r="A92">
        <v>82</v>
      </c>
      <c r="B92" s="8" t="s">
        <v>62</v>
      </c>
      <c r="C92" t="s">
        <v>24</v>
      </c>
    </row>
    <row r="93" spans="1:3" x14ac:dyDescent="0.35">
      <c r="A93">
        <v>83</v>
      </c>
      <c r="B93" s="8" t="s">
        <v>62</v>
      </c>
      <c r="C93" t="s">
        <v>23</v>
      </c>
    </row>
    <row r="94" spans="1:3" x14ac:dyDescent="0.35">
      <c r="A94">
        <v>95</v>
      </c>
      <c r="B94" s="8" t="s">
        <v>62</v>
      </c>
      <c r="C94" t="s">
        <v>22</v>
      </c>
    </row>
    <row r="95" spans="1:3" x14ac:dyDescent="0.35">
      <c r="A95">
        <v>96</v>
      </c>
      <c r="B95" s="8" t="s">
        <v>62</v>
      </c>
      <c r="C95" t="s">
        <v>24</v>
      </c>
    </row>
    <row r="96" spans="1:3" x14ac:dyDescent="0.35">
      <c r="A96">
        <v>97</v>
      </c>
      <c r="B96" s="8" t="s">
        <v>62</v>
      </c>
      <c r="C96" t="s">
        <v>22</v>
      </c>
    </row>
    <row r="97" spans="1:3" x14ac:dyDescent="0.35">
      <c r="A97">
        <v>103</v>
      </c>
      <c r="B97" s="8" t="s">
        <v>62</v>
      </c>
      <c r="C97" t="s">
        <v>22</v>
      </c>
    </row>
    <row r="98" spans="1:3" x14ac:dyDescent="0.35">
      <c r="A98">
        <v>104</v>
      </c>
      <c r="B98" s="8" t="s">
        <v>62</v>
      </c>
      <c r="C98" t="s">
        <v>23</v>
      </c>
    </row>
    <row r="99" spans="1:3" x14ac:dyDescent="0.35">
      <c r="A99">
        <v>105</v>
      </c>
      <c r="B99" s="8" t="s">
        <v>62</v>
      </c>
      <c r="C99" t="s">
        <v>24</v>
      </c>
    </row>
    <row r="100" spans="1:3" x14ac:dyDescent="0.35">
      <c r="A100">
        <v>9</v>
      </c>
      <c r="B100" s="8" t="s">
        <v>63</v>
      </c>
      <c r="C100" t="s">
        <v>13</v>
      </c>
    </row>
    <row r="101" spans="1:3" x14ac:dyDescent="0.35">
      <c r="A101">
        <v>13</v>
      </c>
      <c r="B101" s="8" t="s">
        <v>63</v>
      </c>
      <c r="C101" t="s">
        <v>14</v>
      </c>
    </row>
    <row r="102" spans="1:3" x14ac:dyDescent="0.35">
      <c r="A102">
        <v>14</v>
      </c>
      <c r="B102" s="8" t="s">
        <v>63</v>
      </c>
      <c r="C102" t="s">
        <v>13</v>
      </c>
    </row>
    <row r="103" spans="1:3" x14ac:dyDescent="0.35">
      <c r="A103">
        <v>23</v>
      </c>
      <c r="B103" s="8" t="s">
        <v>63</v>
      </c>
      <c r="C103" t="s">
        <v>13</v>
      </c>
    </row>
    <row r="104" spans="1:3" x14ac:dyDescent="0.35">
      <c r="A104">
        <v>24</v>
      </c>
      <c r="B104" s="8" t="s">
        <v>63</v>
      </c>
      <c r="C104" t="s">
        <v>14</v>
      </c>
    </row>
    <row r="105" spans="1:3" x14ac:dyDescent="0.35">
      <c r="A105">
        <v>25</v>
      </c>
      <c r="B105" s="8" t="s">
        <v>63</v>
      </c>
      <c r="C105" t="s">
        <v>15</v>
      </c>
    </row>
    <row r="106" spans="1:3" x14ac:dyDescent="0.35">
      <c r="A106">
        <v>29</v>
      </c>
      <c r="B106" s="8" t="s">
        <v>63</v>
      </c>
      <c r="C106" t="s">
        <v>13</v>
      </c>
    </row>
    <row r="107" spans="1:3" x14ac:dyDescent="0.35">
      <c r="A107">
        <v>30</v>
      </c>
      <c r="B107" s="8" t="s">
        <v>63</v>
      </c>
      <c r="C107" t="s">
        <v>14</v>
      </c>
    </row>
    <row r="108" spans="1:3" x14ac:dyDescent="0.35">
      <c r="A108">
        <v>31</v>
      </c>
      <c r="B108" s="8" t="s">
        <v>63</v>
      </c>
      <c r="C108" t="s">
        <v>15</v>
      </c>
    </row>
    <row r="109" spans="1:3" x14ac:dyDescent="0.35">
      <c r="A109">
        <v>32</v>
      </c>
      <c r="B109" s="8" t="s">
        <v>63</v>
      </c>
      <c r="C109" t="s">
        <v>13</v>
      </c>
    </row>
    <row r="110" spans="1:3" x14ac:dyDescent="0.35">
      <c r="A110">
        <v>33</v>
      </c>
      <c r="B110" s="8" t="s">
        <v>63</v>
      </c>
      <c r="C110" t="s">
        <v>14</v>
      </c>
    </row>
    <row r="111" spans="1:3" x14ac:dyDescent="0.35">
      <c r="A111">
        <v>59</v>
      </c>
      <c r="B111" s="8" t="s">
        <v>63</v>
      </c>
      <c r="C111" t="s">
        <v>14</v>
      </c>
    </row>
    <row r="112" spans="1:3" x14ac:dyDescent="0.35">
      <c r="A112">
        <v>72</v>
      </c>
      <c r="B112" s="8" t="s">
        <v>63</v>
      </c>
      <c r="C112" t="s">
        <v>14</v>
      </c>
    </row>
    <row r="113" spans="1:3" x14ac:dyDescent="0.35">
      <c r="A113">
        <v>73</v>
      </c>
      <c r="B113" s="8" t="s">
        <v>63</v>
      </c>
      <c r="C113" t="s">
        <v>13</v>
      </c>
    </row>
    <row r="114" spans="1:3" x14ac:dyDescent="0.35">
      <c r="A114">
        <v>74</v>
      </c>
      <c r="B114" s="8" t="s">
        <v>63</v>
      </c>
      <c r="C114" t="s">
        <v>15</v>
      </c>
    </row>
    <row r="115" spans="1:3" x14ac:dyDescent="0.35">
      <c r="A115">
        <v>84</v>
      </c>
      <c r="B115" s="8" t="s">
        <v>63</v>
      </c>
      <c r="C115" t="s">
        <v>13</v>
      </c>
    </row>
    <row r="116" spans="1:3" x14ac:dyDescent="0.35">
      <c r="A116">
        <v>85</v>
      </c>
      <c r="B116" s="8" t="s">
        <v>63</v>
      </c>
      <c r="C116" t="s">
        <v>14</v>
      </c>
    </row>
    <row r="117" spans="1:3" x14ac:dyDescent="0.35">
      <c r="A117">
        <v>86</v>
      </c>
      <c r="B117" s="8" t="s">
        <v>63</v>
      </c>
      <c r="C117" t="s">
        <v>15</v>
      </c>
    </row>
    <row r="118" spans="1:3" x14ac:dyDescent="0.35">
      <c r="A118">
        <v>98</v>
      </c>
      <c r="B118" s="8" t="s">
        <v>63</v>
      </c>
      <c r="C118" t="s">
        <v>13</v>
      </c>
    </row>
    <row r="119" spans="1:3" x14ac:dyDescent="0.35">
      <c r="A119">
        <v>118</v>
      </c>
      <c r="B119" s="8" t="s">
        <v>63</v>
      </c>
      <c r="C119" t="s">
        <v>13</v>
      </c>
    </row>
    <row r="120" spans="1:3" x14ac:dyDescent="0.35">
      <c r="A120">
        <v>119</v>
      </c>
      <c r="B120" s="8" t="s">
        <v>63</v>
      </c>
      <c r="C120" t="s">
        <v>14</v>
      </c>
    </row>
    <row r="121" spans="1:3" x14ac:dyDescent="0.35">
      <c r="A121">
        <v>120</v>
      </c>
      <c r="B121" s="8" t="s">
        <v>63</v>
      </c>
      <c r="C121" t="s">
        <v>15</v>
      </c>
    </row>
  </sheetData>
  <sortState xmlns:xlrd2="http://schemas.microsoft.com/office/spreadsheetml/2017/richdata2" ref="A2:C121">
    <sortCondition ref="B2:B1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D7CB-6FBA-460D-8918-7BBA95A4FFB6}">
  <dimension ref="A1:K121"/>
  <sheetViews>
    <sheetView tabSelected="1" workbookViewId="0">
      <pane ySplit="1" topLeftCell="A94" activePane="bottomLeft" state="frozen"/>
      <selection activeCell="D1" sqref="D1"/>
      <selection pane="bottomLeft" activeCell="D1" sqref="D1:D1048576"/>
    </sheetView>
  </sheetViews>
  <sheetFormatPr baseColWidth="10" defaultRowHeight="14.5" x14ac:dyDescent="0.35"/>
  <cols>
    <col min="2" max="2" width="12.54296875" bestFit="1" customWidth="1"/>
    <col min="3" max="3" width="21.6328125" bestFit="1" customWidth="1"/>
    <col min="4" max="4" width="38" bestFit="1" customWidth="1"/>
    <col min="5" max="5" width="21.6328125" bestFit="1" customWidth="1"/>
    <col min="6" max="6" width="27.6328125" bestFit="1" customWidth="1"/>
    <col min="7" max="7" width="35" bestFit="1" customWidth="1"/>
    <col min="8" max="8" width="19.453125" bestFit="1" customWidth="1"/>
    <col min="9" max="9" width="24.54296875" bestFit="1" customWidth="1"/>
    <col min="10" max="10" width="27.54296875" bestFit="1" customWidth="1"/>
    <col min="11" max="11" width="36.90625" bestFit="1" customWidth="1"/>
  </cols>
  <sheetData>
    <row r="1" spans="1:11" ht="25" customHeight="1" thickBot="1" x14ac:dyDescent="0.5">
      <c r="A1" s="24" t="s">
        <v>36</v>
      </c>
      <c r="B1" s="25" t="s">
        <v>66</v>
      </c>
      <c r="C1" s="25" t="s">
        <v>67</v>
      </c>
      <c r="D1" s="26" t="s">
        <v>68</v>
      </c>
      <c r="E1" s="26" t="s">
        <v>69</v>
      </c>
      <c r="F1" s="32" t="s">
        <v>72</v>
      </c>
      <c r="G1" s="27" t="s">
        <v>70</v>
      </c>
      <c r="H1" s="25" t="s">
        <v>71</v>
      </c>
      <c r="I1" s="27" t="s">
        <v>73</v>
      </c>
      <c r="J1" s="28" t="s">
        <v>74</v>
      </c>
      <c r="K1" s="27" t="s">
        <v>75</v>
      </c>
    </row>
    <row r="2" spans="1:11" ht="15" thickTop="1" x14ac:dyDescent="0.35">
      <c r="A2">
        <v>1</v>
      </c>
      <c r="B2" t="s">
        <v>30</v>
      </c>
      <c r="C2">
        <v>120</v>
      </c>
      <c r="D2" s="17">
        <v>34</v>
      </c>
      <c r="E2" s="17">
        <f>C2*D2</f>
        <v>4080</v>
      </c>
      <c r="F2" s="17">
        <f>C2*G2</f>
        <v>2520</v>
      </c>
      <c r="G2" s="17">
        <v>21</v>
      </c>
      <c r="H2" s="4">
        <v>7.4999999999999997E-2</v>
      </c>
      <c r="I2" s="20">
        <f>E2-F2</f>
        <v>1560</v>
      </c>
      <c r="J2" s="21">
        <f>I2/E2</f>
        <v>0.38235294117647056</v>
      </c>
      <c r="K2" s="19">
        <f>D2*(1-A2)</f>
        <v>0</v>
      </c>
    </row>
    <row r="3" spans="1:11" x14ac:dyDescent="0.35">
      <c r="A3">
        <v>2</v>
      </c>
      <c r="B3" t="s">
        <v>30</v>
      </c>
      <c r="C3">
        <v>135</v>
      </c>
      <c r="D3" s="17">
        <v>34</v>
      </c>
      <c r="E3" s="17">
        <f t="shared" ref="E3:E66" si="0">C3*D3</f>
        <v>4590</v>
      </c>
      <c r="F3" s="17">
        <f>C3*G3</f>
        <v>2835</v>
      </c>
      <c r="G3" s="17">
        <v>21</v>
      </c>
      <c r="H3" s="3">
        <v>0.12</v>
      </c>
      <c r="I3" s="20">
        <f>E3-F3</f>
        <v>1755</v>
      </c>
      <c r="J3" s="21">
        <f>I3/E3</f>
        <v>0.38235294117647056</v>
      </c>
      <c r="K3" s="19">
        <f>D3*(1-A3)</f>
        <v>-34</v>
      </c>
    </row>
    <row r="4" spans="1:11" x14ac:dyDescent="0.35">
      <c r="A4">
        <v>3</v>
      </c>
      <c r="B4" t="s">
        <v>30</v>
      </c>
      <c r="C4">
        <v>100</v>
      </c>
      <c r="D4" s="17">
        <v>34</v>
      </c>
      <c r="E4" s="17">
        <f t="shared" si="0"/>
        <v>3400</v>
      </c>
      <c r="F4" s="17">
        <f>C4*G4</f>
        <v>2100</v>
      </c>
      <c r="G4" s="17">
        <v>21</v>
      </c>
      <c r="H4" s="3">
        <v>0.06</v>
      </c>
      <c r="I4" s="20">
        <f>E4-F4</f>
        <v>1300</v>
      </c>
      <c r="J4" s="21">
        <f>I4/E4</f>
        <v>0.38235294117647056</v>
      </c>
      <c r="K4" s="19">
        <f>D4*(1-A4)</f>
        <v>-68</v>
      </c>
    </row>
    <row r="5" spans="1:11" x14ac:dyDescent="0.35">
      <c r="A5">
        <v>4</v>
      </c>
      <c r="B5" t="s">
        <v>30</v>
      </c>
      <c r="C5">
        <v>250</v>
      </c>
      <c r="D5" s="17">
        <v>34</v>
      </c>
      <c r="E5" s="17">
        <f t="shared" si="0"/>
        <v>8500</v>
      </c>
      <c r="F5" s="17">
        <f>C5*G5</f>
        <v>5250</v>
      </c>
      <c r="G5" s="17">
        <v>21</v>
      </c>
      <c r="H5" s="3">
        <v>0.1</v>
      </c>
      <c r="I5" s="20">
        <f>E5-F5</f>
        <v>3250</v>
      </c>
      <c r="J5" s="21">
        <f>I5/E5</f>
        <v>0.38235294117647056</v>
      </c>
      <c r="K5" s="19">
        <f>D5*(1-A5)</f>
        <v>-102</v>
      </c>
    </row>
    <row r="6" spans="1:11" x14ac:dyDescent="0.35">
      <c r="A6">
        <v>5</v>
      </c>
      <c r="B6" t="s">
        <v>30</v>
      </c>
      <c r="C6">
        <v>55</v>
      </c>
      <c r="D6" s="17">
        <v>21</v>
      </c>
      <c r="E6" s="17">
        <f t="shared" si="0"/>
        <v>1155</v>
      </c>
      <c r="F6" s="17">
        <f>C6*G6</f>
        <v>660</v>
      </c>
      <c r="G6" s="17">
        <v>12</v>
      </c>
      <c r="H6" s="3">
        <v>0.06</v>
      </c>
      <c r="I6" s="20">
        <f>E6-F6</f>
        <v>495</v>
      </c>
      <c r="J6" s="21">
        <f>I6/E6</f>
        <v>0.42857142857142855</v>
      </c>
      <c r="K6" s="19">
        <f>D6*(1-A6)</f>
        <v>-84</v>
      </c>
    </row>
    <row r="7" spans="1:11" x14ac:dyDescent="0.35">
      <c r="A7">
        <v>6</v>
      </c>
      <c r="B7" t="s">
        <v>30</v>
      </c>
      <c r="C7">
        <v>85</v>
      </c>
      <c r="D7" s="17">
        <v>21</v>
      </c>
      <c r="E7" s="17">
        <f t="shared" si="0"/>
        <v>1785</v>
      </c>
      <c r="F7" s="17">
        <f>C7*G7</f>
        <v>1020</v>
      </c>
      <c r="G7" s="17">
        <v>12</v>
      </c>
      <c r="H7" s="3">
        <v>0.12</v>
      </c>
      <c r="I7" s="20">
        <f>E7-F7</f>
        <v>765</v>
      </c>
      <c r="J7" s="21">
        <f>I7/E7</f>
        <v>0.42857142857142855</v>
      </c>
      <c r="K7" s="19">
        <f>D7*(1-A7)</f>
        <v>-105</v>
      </c>
    </row>
    <row r="8" spans="1:11" x14ac:dyDescent="0.35">
      <c r="A8">
        <v>7</v>
      </c>
      <c r="B8" t="s">
        <v>30</v>
      </c>
      <c r="C8">
        <v>40</v>
      </c>
      <c r="D8" s="17">
        <v>21</v>
      </c>
      <c r="E8" s="17">
        <f t="shared" si="0"/>
        <v>840</v>
      </c>
      <c r="F8" s="17">
        <f>C8*G8</f>
        <v>480</v>
      </c>
      <c r="G8" s="17">
        <v>12</v>
      </c>
      <c r="H8" s="3">
        <v>0.04</v>
      </c>
      <c r="I8" s="20">
        <f>E8-F8</f>
        <v>360</v>
      </c>
      <c r="J8" s="21">
        <f>I8/E8</f>
        <v>0.42857142857142855</v>
      </c>
      <c r="K8" s="19">
        <f>D8*(1-A8)</f>
        <v>-126</v>
      </c>
    </row>
    <row r="9" spans="1:11" x14ac:dyDescent="0.35">
      <c r="A9">
        <v>8</v>
      </c>
      <c r="B9" t="s">
        <v>30</v>
      </c>
      <c r="C9">
        <v>45</v>
      </c>
      <c r="D9" s="17">
        <v>21</v>
      </c>
      <c r="E9" s="17">
        <f t="shared" si="0"/>
        <v>945</v>
      </c>
      <c r="F9" s="17">
        <f>C9*G9</f>
        <v>540</v>
      </c>
      <c r="G9" s="17">
        <v>12</v>
      </c>
      <c r="H9" s="3">
        <v>0.03</v>
      </c>
      <c r="I9" s="20">
        <f>E9-F9</f>
        <v>405</v>
      </c>
      <c r="J9" s="21">
        <f>I9/E9</f>
        <v>0.42857142857142855</v>
      </c>
      <c r="K9" s="19">
        <f>D9*(1-A9)</f>
        <v>-147</v>
      </c>
    </row>
    <row r="10" spans="1:11" x14ac:dyDescent="0.35">
      <c r="A10">
        <v>9</v>
      </c>
      <c r="B10" t="s">
        <v>30</v>
      </c>
      <c r="C10">
        <v>60</v>
      </c>
      <c r="D10" s="17">
        <v>21</v>
      </c>
      <c r="E10" s="17">
        <f t="shared" si="0"/>
        <v>1260</v>
      </c>
      <c r="F10" s="17">
        <f>C10*G10</f>
        <v>720</v>
      </c>
      <c r="G10" s="17">
        <v>12</v>
      </c>
      <c r="H10" s="3">
        <v>0.1</v>
      </c>
      <c r="I10" s="20">
        <f>E10-F10</f>
        <v>540</v>
      </c>
      <c r="J10" s="21">
        <f>I10/E10</f>
        <v>0.42857142857142855</v>
      </c>
      <c r="K10" s="19">
        <f>D10*(1-A10)</f>
        <v>-168</v>
      </c>
    </row>
    <row r="11" spans="1:11" x14ac:dyDescent="0.35">
      <c r="A11">
        <v>10</v>
      </c>
      <c r="B11" t="s">
        <v>30</v>
      </c>
      <c r="C11">
        <v>10</v>
      </c>
      <c r="D11" s="18">
        <v>0.9</v>
      </c>
      <c r="E11" s="17">
        <f t="shared" si="0"/>
        <v>9</v>
      </c>
      <c r="F11" s="17">
        <f>C11*G11</f>
        <v>3</v>
      </c>
      <c r="G11" s="18">
        <v>0.3</v>
      </c>
      <c r="H11" s="4">
        <v>7.4999999999999997E-2</v>
      </c>
      <c r="I11" s="20">
        <f>E11-F11</f>
        <v>6</v>
      </c>
      <c r="J11" s="21">
        <f>I11/E11</f>
        <v>0.66666666666666663</v>
      </c>
      <c r="K11" s="19">
        <f>D11*(1-A11)</f>
        <v>-8.1</v>
      </c>
    </row>
    <row r="12" spans="1:11" x14ac:dyDescent="0.35">
      <c r="A12">
        <v>11</v>
      </c>
      <c r="B12" t="s">
        <v>30</v>
      </c>
      <c r="C12">
        <v>5</v>
      </c>
      <c r="D12" s="18">
        <v>0.9</v>
      </c>
      <c r="E12" s="17">
        <f t="shared" si="0"/>
        <v>4.5</v>
      </c>
      <c r="F12" s="17">
        <f>C12*G12</f>
        <v>1.5</v>
      </c>
      <c r="G12" s="18">
        <v>0.3</v>
      </c>
      <c r="H12" s="3">
        <v>0.12</v>
      </c>
      <c r="I12" s="20">
        <f>E12-F12</f>
        <v>3</v>
      </c>
      <c r="J12" s="21">
        <f>I12/E12</f>
        <v>0.66666666666666663</v>
      </c>
      <c r="K12" s="19">
        <f>D12*(1-A12)</f>
        <v>-9</v>
      </c>
    </row>
    <row r="13" spans="1:11" x14ac:dyDescent="0.35">
      <c r="A13">
        <v>12</v>
      </c>
      <c r="B13" t="s">
        <v>30</v>
      </c>
      <c r="C13">
        <v>20</v>
      </c>
      <c r="D13" s="18">
        <v>0.9</v>
      </c>
      <c r="E13" s="17">
        <f t="shared" si="0"/>
        <v>18</v>
      </c>
      <c r="F13" s="17">
        <f>C13*G13</f>
        <v>6</v>
      </c>
      <c r="G13" s="18">
        <v>0.3</v>
      </c>
      <c r="H13" s="3">
        <v>0.06</v>
      </c>
      <c r="I13" s="20">
        <f>E13-F13</f>
        <v>12</v>
      </c>
      <c r="J13" s="21">
        <f>I13/E13</f>
        <v>0.66666666666666663</v>
      </c>
      <c r="K13" s="19">
        <f>D13*(1-A13)</f>
        <v>-9.9</v>
      </c>
    </row>
    <row r="14" spans="1:11" x14ac:dyDescent="0.35">
      <c r="A14">
        <v>13</v>
      </c>
      <c r="B14" t="s">
        <v>30</v>
      </c>
      <c r="C14">
        <v>15</v>
      </c>
      <c r="D14" s="18">
        <v>0.9</v>
      </c>
      <c r="E14" s="17">
        <f t="shared" si="0"/>
        <v>13.5</v>
      </c>
      <c r="F14" s="17">
        <f>C14*G14</f>
        <v>4.5</v>
      </c>
      <c r="G14" s="18">
        <v>0.3</v>
      </c>
      <c r="H14" s="3">
        <v>0.05</v>
      </c>
      <c r="I14" s="20">
        <f>E14-F14</f>
        <v>9</v>
      </c>
      <c r="J14" s="21">
        <f>I14/E14</f>
        <v>0.66666666666666663</v>
      </c>
      <c r="K14" s="19">
        <f>D14*(1-A14)</f>
        <v>-10.8</v>
      </c>
    </row>
    <row r="15" spans="1:11" x14ac:dyDescent="0.35">
      <c r="A15">
        <v>14</v>
      </c>
      <c r="B15" t="s">
        <v>30</v>
      </c>
      <c r="C15">
        <v>30</v>
      </c>
      <c r="D15" s="18">
        <v>0.9</v>
      </c>
      <c r="E15" s="17">
        <f t="shared" si="0"/>
        <v>27</v>
      </c>
      <c r="F15" s="17">
        <f>C15*G15</f>
        <v>9</v>
      </c>
      <c r="G15" s="18">
        <v>0.3</v>
      </c>
      <c r="H15" s="3">
        <v>0.1</v>
      </c>
      <c r="I15" s="20">
        <f>E15-F15</f>
        <v>18</v>
      </c>
      <c r="J15" s="21">
        <f>I15/E15</f>
        <v>0.66666666666666663</v>
      </c>
      <c r="K15" s="19">
        <f>D15*(1-A15)</f>
        <v>-11.700000000000001</v>
      </c>
    </row>
    <row r="16" spans="1:11" x14ac:dyDescent="0.35">
      <c r="A16">
        <v>15</v>
      </c>
      <c r="B16" t="s">
        <v>31</v>
      </c>
      <c r="C16">
        <v>5</v>
      </c>
      <c r="D16" s="17">
        <v>2</v>
      </c>
      <c r="E16" s="17">
        <f t="shared" si="0"/>
        <v>10</v>
      </c>
      <c r="F16" s="17">
        <f>C16*G16</f>
        <v>5</v>
      </c>
      <c r="G16" s="17">
        <v>1</v>
      </c>
      <c r="H16" s="3">
        <v>0</v>
      </c>
      <c r="I16" s="20">
        <f>E16-F16</f>
        <v>5</v>
      </c>
      <c r="J16" s="21">
        <f>I16/E16</f>
        <v>0.5</v>
      </c>
      <c r="K16" s="19">
        <f>D16*(1-A16)</f>
        <v>-28</v>
      </c>
    </row>
    <row r="17" spans="1:11" x14ac:dyDescent="0.35">
      <c r="A17">
        <v>16</v>
      </c>
      <c r="B17" t="s">
        <v>31</v>
      </c>
      <c r="C17">
        <v>3</v>
      </c>
      <c r="D17" s="17">
        <v>2</v>
      </c>
      <c r="E17" s="17">
        <f t="shared" si="0"/>
        <v>6</v>
      </c>
      <c r="F17" s="17">
        <f>C17*G17</f>
        <v>3</v>
      </c>
      <c r="G17" s="17">
        <v>1</v>
      </c>
      <c r="H17" s="3">
        <v>0</v>
      </c>
      <c r="I17" s="20">
        <f>E17-F17</f>
        <v>3</v>
      </c>
      <c r="J17" s="21">
        <f>I17/E17</f>
        <v>0.5</v>
      </c>
      <c r="K17" s="19">
        <f>D17*(1-A17)</f>
        <v>-30</v>
      </c>
    </row>
    <row r="18" spans="1:11" x14ac:dyDescent="0.35">
      <c r="A18">
        <v>17</v>
      </c>
      <c r="B18" t="s">
        <v>31</v>
      </c>
      <c r="C18">
        <v>500</v>
      </c>
      <c r="D18" s="17">
        <v>2</v>
      </c>
      <c r="E18" s="17">
        <f t="shared" si="0"/>
        <v>1000</v>
      </c>
      <c r="F18" s="17">
        <f>C18*G18</f>
        <v>500</v>
      </c>
      <c r="G18" s="17">
        <v>1</v>
      </c>
      <c r="H18" s="4">
        <v>7.4999999999999997E-2</v>
      </c>
      <c r="I18" s="20">
        <f>E18-F18</f>
        <v>500</v>
      </c>
      <c r="J18" s="21">
        <f>I18/E18</f>
        <v>0.5</v>
      </c>
      <c r="K18" s="19">
        <f>D18*(1-A18)</f>
        <v>-32</v>
      </c>
    </row>
    <row r="19" spans="1:11" x14ac:dyDescent="0.35">
      <c r="A19">
        <v>18</v>
      </c>
      <c r="B19" t="s">
        <v>31</v>
      </c>
      <c r="C19">
        <v>410</v>
      </c>
      <c r="D19" s="17">
        <v>2</v>
      </c>
      <c r="E19" s="17">
        <f t="shared" si="0"/>
        <v>820</v>
      </c>
      <c r="F19" s="17">
        <f>C19*G19</f>
        <v>410</v>
      </c>
      <c r="G19" s="17">
        <v>1</v>
      </c>
      <c r="H19" s="3">
        <v>0.06</v>
      </c>
      <c r="I19" s="20">
        <f>E19-F19</f>
        <v>410</v>
      </c>
      <c r="J19" s="21">
        <f>I19/E19</f>
        <v>0.5</v>
      </c>
      <c r="K19" s="19">
        <f>D19*(1-A19)</f>
        <v>-34</v>
      </c>
    </row>
    <row r="20" spans="1:11" x14ac:dyDescent="0.35">
      <c r="A20">
        <v>19</v>
      </c>
      <c r="B20" t="s">
        <v>31</v>
      </c>
      <c r="C20">
        <v>620</v>
      </c>
      <c r="D20" s="17">
        <v>2</v>
      </c>
      <c r="E20" s="17">
        <f t="shared" si="0"/>
        <v>1240</v>
      </c>
      <c r="F20" s="17">
        <f>C20*G20</f>
        <v>620</v>
      </c>
      <c r="G20" s="17">
        <v>1</v>
      </c>
      <c r="H20" s="3">
        <v>0.12</v>
      </c>
      <c r="I20" s="20">
        <f>E20-F20</f>
        <v>620</v>
      </c>
      <c r="J20" s="21">
        <f>I20/E20</f>
        <v>0.5</v>
      </c>
      <c r="K20" s="19">
        <f>D20*(1-A20)</f>
        <v>-36</v>
      </c>
    </row>
    <row r="21" spans="1:11" x14ac:dyDescent="0.35">
      <c r="A21">
        <v>20</v>
      </c>
      <c r="B21" t="s">
        <v>31</v>
      </c>
      <c r="C21">
        <v>120</v>
      </c>
      <c r="D21" s="17">
        <v>2</v>
      </c>
      <c r="E21" s="17">
        <f t="shared" si="0"/>
        <v>240</v>
      </c>
      <c r="F21" s="17">
        <f>C21*G21</f>
        <v>120</v>
      </c>
      <c r="G21" s="17">
        <v>1</v>
      </c>
      <c r="H21" s="3">
        <v>0.04</v>
      </c>
      <c r="I21" s="20">
        <f>E21-F21</f>
        <v>120</v>
      </c>
      <c r="J21" s="21">
        <f>I21/E21</f>
        <v>0.5</v>
      </c>
      <c r="K21" s="19">
        <f>D21*(1-A21)</f>
        <v>-38</v>
      </c>
    </row>
    <row r="22" spans="1:11" x14ac:dyDescent="0.35">
      <c r="A22">
        <v>21</v>
      </c>
      <c r="B22" t="s">
        <v>31</v>
      </c>
      <c r="C22">
        <v>320</v>
      </c>
      <c r="D22" s="17">
        <v>2</v>
      </c>
      <c r="E22" s="17">
        <f t="shared" si="0"/>
        <v>640</v>
      </c>
      <c r="F22" s="17">
        <f>C22*G22</f>
        <v>480</v>
      </c>
      <c r="G22" s="18">
        <v>1.5</v>
      </c>
      <c r="H22" s="3">
        <v>0.12</v>
      </c>
      <c r="I22" s="20">
        <f>E22-F22</f>
        <v>160</v>
      </c>
      <c r="J22" s="21">
        <f>I22/E22</f>
        <v>0.25</v>
      </c>
      <c r="K22" s="19">
        <f>D22*(1-A22)</f>
        <v>-40</v>
      </c>
    </row>
    <row r="23" spans="1:11" x14ac:dyDescent="0.35">
      <c r="A23">
        <v>22</v>
      </c>
      <c r="B23" t="s">
        <v>31</v>
      </c>
      <c r="C23">
        <v>460</v>
      </c>
      <c r="D23" s="17">
        <v>3</v>
      </c>
      <c r="E23" s="17">
        <f t="shared" si="0"/>
        <v>1380</v>
      </c>
      <c r="F23" s="17">
        <f>C23*G23</f>
        <v>690</v>
      </c>
      <c r="G23" s="18">
        <v>1.5</v>
      </c>
      <c r="H23" s="4">
        <v>7.4999999999999997E-2</v>
      </c>
      <c r="I23" s="20">
        <f>E23-F23</f>
        <v>690</v>
      </c>
      <c r="J23" s="21">
        <f>I23/E23</f>
        <v>0.5</v>
      </c>
      <c r="K23" s="19">
        <f>D23*(1-A23)</f>
        <v>-63</v>
      </c>
    </row>
    <row r="24" spans="1:11" x14ac:dyDescent="0.35">
      <c r="A24">
        <v>23</v>
      </c>
      <c r="B24" t="s">
        <v>31</v>
      </c>
      <c r="C24">
        <v>80</v>
      </c>
      <c r="D24" s="17">
        <v>3</v>
      </c>
      <c r="E24" s="17">
        <f t="shared" si="0"/>
        <v>240</v>
      </c>
      <c r="F24" s="17">
        <f>C24*G24</f>
        <v>120</v>
      </c>
      <c r="G24" s="18">
        <v>1.5</v>
      </c>
      <c r="H24" s="3">
        <v>0.1</v>
      </c>
      <c r="I24" s="20">
        <f>E24-F24</f>
        <v>120</v>
      </c>
      <c r="J24" s="21">
        <f>I24/E24</f>
        <v>0.5</v>
      </c>
      <c r="K24" s="19">
        <f>D24*(1-A24)</f>
        <v>-66</v>
      </c>
    </row>
    <row r="25" spans="1:11" x14ac:dyDescent="0.35">
      <c r="A25">
        <v>24</v>
      </c>
      <c r="B25" t="s">
        <v>31</v>
      </c>
      <c r="C25">
        <v>45</v>
      </c>
      <c r="D25" s="17">
        <v>3</v>
      </c>
      <c r="E25" s="17">
        <f t="shared" si="0"/>
        <v>135</v>
      </c>
      <c r="F25" s="17">
        <f>C25*G25</f>
        <v>67.5</v>
      </c>
      <c r="G25" s="18">
        <v>1.5</v>
      </c>
      <c r="H25" s="3">
        <v>0.05</v>
      </c>
      <c r="I25" s="20">
        <f>E25-F25</f>
        <v>67.5</v>
      </c>
      <c r="J25" s="21">
        <f>I25/E25</f>
        <v>0.5</v>
      </c>
      <c r="K25" s="19">
        <f>D25*(1-A25)</f>
        <v>-69</v>
      </c>
    </row>
    <row r="26" spans="1:11" x14ac:dyDescent="0.35">
      <c r="A26">
        <v>25</v>
      </c>
      <c r="B26" t="s">
        <v>31</v>
      </c>
      <c r="C26">
        <v>60</v>
      </c>
      <c r="D26" s="17">
        <v>3</v>
      </c>
      <c r="E26" s="17">
        <f t="shared" si="0"/>
        <v>180</v>
      </c>
      <c r="F26" s="17">
        <f>C26*G26</f>
        <v>90</v>
      </c>
      <c r="G26" s="18">
        <v>1.5</v>
      </c>
      <c r="H26" s="3">
        <v>0.08</v>
      </c>
      <c r="I26" s="20">
        <f>E26-F26</f>
        <v>90</v>
      </c>
      <c r="J26" s="21">
        <f>I26/E26</f>
        <v>0.5</v>
      </c>
      <c r="K26" s="19">
        <f>D26*(1-A26)</f>
        <v>-72</v>
      </c>
    </row>
    <row r="27" spans="1:11" x14ac:dyDescent="0.35">
      <c r="A27">
        <v>26</v>
      </c>
      <c r="B27" t="s">
        <v>31</v>
      </c>
      <c r="C27">
        <v>4</v>
      </c>
      <c r="D27" s="17">
        <v>3</v>
      </c>
      <c r="E27" s="17">
        <f t="shared" si="0"/>
        <v>12</v>
      </c>
      <c r="F27" s="17">
        <f>C27*G27</f>
        <v>6</v>
      </c>
      <c r="G27" s="18">
        <v>1.5</v>
      </c>
      <c r="H27" s="3">
        <v>0</v>
      </c>
      <c r="I27" s="20">
        <f>E27-F27</f>
        <v>6</v>
      </c>
      <c r="J27" s="21">
        <f>I27/E27</f>
        <v>0.5</v>
      </c>
      <c r="K27" s="19">
        <f>D27*(1-A27)</f>
        <v>-75</v>
      </c>
    </row>
    <row r="28" spans="1:11" x14ac:dyDescent="0.35">
      <c r="A28">
        <v>27</v>
      </c>
      <c r="B28" t="s">
        <v>31</v>
      </c>
      <c r="C28">
        <v>80</v>
      </c>
      <c r="D28" s="17">
        <v>3</v>
      </c>
      <c r="E28" s="17">
        <f t="shared" si="0"/>
        <v>240</v>
      </c>
      <c r="F28" s="17">
        <f>C28*G28</f>
        <v>120</v>
      </c>
      <c r="G28" s="18">
        <v>1.5</v>
      </c>
      <c r="H28" s="3">
        <v>0.06</v>
      </c>
      <c r="I28" s="20">
        <f>E28-F28</f>
        <v>120</v>
      </c>
      <c r="J28" s="21">
        <f>I28/E28</f>
        <v>0.5</v>
      </c>
      <c r="K28" s="19">
        <f>D28*(1-A28)</f>
        <v>-78</v>
      </c>
    </row>
    <row r="29" spans="1:11" x14ac:dyDescent="0.35">
      <c r="A29">
        <v>28</v>
      </c>
      <c r="B29" t="s">
        <v>31</v>
      </c>
      <c r="C29">
        <v>60</v>
      </c>
      <c r="D29" s="17">
        <v>3</v>
      </c>
      <c r="E29" s="17">
        <f t="shared" si="0"/>
        <v>180</v>
      </c>
      <c r="F29" s="17">
        <f>C29*G29</f>
        <v>90</v>
      </c>
      <c r="G29" s="18">
        <v>1.5</v>
      </c>
      <c r="H29" s="4">
        <v>7.4999999999999997E-2</v>
      </c>
      <c r="I29" s="20">
        <f>E29-F29</f>
        <v>90</v>
      </c>
      <c r="J29" s="21">
        <f>I29/E29</f>
        <v>0.5</v>
      </c>
      <c r="K29" s="19">
        <f>D29*(1-A29)</f>
        <v>-81</v>
      </c>
    </row>
    <row r="30" spans="1:11" x14ac:dyDescent="0.35">
      <c r="A30">
        <v>29</v>
      </c>
      <c r="B30" t="s">
        <v>31</v>
      </c>
      <c r="C30">
        <v>100</v>
      </c>
      <c r="D30" s="17">
        <v>3</v>
      </c>
      <c r="E30" s="17">
        <f t="shared" si="0"/>
        <v>300</v>
      </c>
      <c r="F30" s="17">
        <f>C30*G30</f>
        <v>150</v>
      </c>
      <c r="G30" s="18">
        <v>1.5</v>
      </c>
      <c r="H30" s="3">
        <v>0.1</v>
      </c>
      <c r="I30" s="20">
        <f>E30-F30</f>
        <v>150</v>
      </c>
      <c r="J30" s="21">
        <f>I30/E30</f>
        <v>0.5</v>
      </c>
      <c r="K30" s="19">
        <f>D30*(1-A30)</f>
        <v>-84</v>
      </c>
    </row>
    <row r="31" spans="1:11" x14ac:dyDescent="0.35">
      <c r="A31">
        <v>30</v>
      </c>
      <c r="B31" t="s">
        <v>31</v>
      </c>
      <c r="C31">
        <v>25</v>
      </c>
      <c r="D31" s="17">
        <v>3</v>
      </c>
      <c r="E31" s="17">
        <f t="shared" si="0"/>
        <v>75</v>
      </c>
      <c r="F31" s="17">
        <f>C31*G31</f>
        <v>37.5</v>
      </c>
      <c r="G31" s="18">
        <v>1.5</v>
      </c>
      <c r="H31" s="3">
        <v>0.05</v>
      </c>
      <c r="I31" s="20">
        <f>E31-F31</f>
        <v>37.5</v>
      </c>
      <c r="J31" s="21">
        <f>I31/E31</f>
        <v>0.5</v>
      </c>
      <c r="K31" s="19">
        <f>D31*(1-A31)</f>
        <v>-87</v>
      </c>
    </row>
    <row r="32" spans="1:11" x14ac:dyDescent="0.35">
      <c r="A32">
        <v>31</v>
      </c>
      <c r="B32" t="s">
        <v>31</v>
      </c>
      <c r="C32">
        <v>35</v>
      </c>
      <c r="D32" s="17">
        <v>3</v>
      </c>
      <c r="E32" s="17">
        <f t="shared" si="0"/>
        <v>105</v>
      </c>
      <c r="F32" s="17">
        <f>C32*G32</f>
        <v>52.5</v>
      </c>
      <c r="G32" s="18">
        <v>1.5</v>
      </c>
      <c r="H32" s="3">
        <v>0.08</v>
      </c>
      <c r="I32" s="20">
        <f>E32-F32</f>
        <v>52.5</v>
      </c>
      <c r="J32" s="21">
        <f>I32/E32</f>
        <v>0.5</v>
      </c>
      <c r="K32" s="19">
        <f>D32*(1-A32)</f>
        <v>-90</v>
      </c>
    </row>
    <row r="33" spans="1:11" x14ac:dyDescent="0.35">
      <c r="A33">
        <v>32</v>
      </c>
      <c r="B33" t="s">
        <v>31</v>
      </c>
      <c r="C33">
        <v>12</v>
      </c>
      <c r="D33" s="17">
        <v>3</v>
      </c>
      <c r="E33" s="17">
        <f t="shared" si="0"/>
        <v>36</v>
      </c>
      <c r="F33" s="17">
        <f>C33*G33</f>
        <v>21.6</v>
      </c>
      <c r="G33" s="18">
        <v>1.8</v>
      </c>
      <c r="H33" s="3">
        <v>0.1</v>
      </c>
      <c r="I33" s="20">
        <f>E33-F33</f>
        <v>14.399999999999999</v>
      </c>
      <c r="J33" s="21">
        <f>I33/E33</f>
        <v>0.39999999999999997</v>
      </c>
      <c r="K33" s="19">
        <f>D33*(1-A33)</f>
        <v>-93</v>
      </c>
    </row>
    <row r="34" spans="1:11" x14ac:dyDescent="0.35">
      <c r="A34">
        <v>33</v>
      </c>
      <c r="B34" t="s">
        <v>31</v>
      </c>
      <c r="C34">
        <v>35</v>
      </c>
      <c r="D34" s="17">
        <v>3</v>
      </c>
      <c r="E34" s="17">
        <f t="shared" si="0"/>
        <v>105</v>
      </c>
      <c r="F34" s="17">
        <f>C34*G34</f>
        <v>63</v>
      </c>
      <c r="G34" s="18">
        <v>1.8</v>
      </c>
      <c r="H34" s="3">
        <v>0.05</v>
      </c>
      <c r="I34" s="20">
        <f>E34-F34</f>
        <v>42</v>
      </c>
      <c r="J34" s="21">
        <f>I34/E34</f>
        <v>0.4</v>
      </c>
      <c r="K34" s="19">
        <f>D34*(1-A34)</f>
        <v>-96</v>
      </c>
    </row>
    <row r="35" spans="1:11" x14ac:dyDescent="0.35">
      <c r="A35">
        <v>34</v>
      </c>
      <c r="B35" t="s">
        <v>31</v>
      </c>
      <c r="C35">
        <v>210</v>
      </c>
      <c r="D35" s="17">
        <v>3</v>
      </c>
      <c r="E35" s="17">
        <f t="shared" si="0"/>
        <v>630</v>
      </c>
      <c r="F35" s="17">
        <f>C35*G35</f>
        <v>378</v>
      </c>
      <c r="G35" s="18">
        <v>1.8</v>
      </c>
      <c r="H35" s="4">
        <v>7.4999999999999997E-2</v>
      </c>
      <c r="I35" s="20">
        <f>E35-F35</f>
        <v>252</v>
      </c>
      <c r="J35" s="21">
        <f>I35/E35</f>
        <v>0.4</v>
      </c>
      <c r="K35" s="19">
        <f>D35*(1-A35)</f>
        <v>-99</v>
      </c>
    </row>
    <row r="36" spans="1:11" x14ac:dyDescent="0.35">
      <c r="A36">
        <v>35</v>
      </c>
      <c r="B36" t="s">
        <v>31</v>
      </c>
      <c r="C36">
        <v>40</v>
      </c>
      <c r="D36" s="17">
        <v>3</v>
      </c>
      <c r="E36" s="17">
        <f t="shared" si="0"/>
        <v>120</v>
      </c>
      <c r="F36" s="17">
        <f>C36*G36</f>
        <v>72</v>
      </c>
      <c r="G36" s="18">
        <v>1.8</v>
      </c>
      <c r="H36" s="3">
        <v>0.06</v>
      </c>
      <c r="I36" s="20">
        <f>E36-F36</f>
        <v>48</v>
      </c>
      <c r="J36" s="21">
        <f>I36/E36</f>
        <v>0.4</v>
      </c>
      <c r="K36" s="19">
        <f>D36*(1-A36)</f>
        <v>-102</v>
      </c>
    </row>
    <row r="37" spans="1:11" x14ac:dyDescent="0.35">
      <c r="A37">
        <v>36</v>
      </c>
      <c r="B37" t="s">
        <v>31</v>
      </c>
      <c r="C37">
        <v>55</v>
      </c>
      <c r="D37" s="17">
        <v>3</v>
      </c>
      <c r="E37" s="17">
        <f t="shared" si="0"/>
        <v>165</v>
      </c>
      <c r="F37" s="17">
        <f>C37*G37</f>
        <v>99</v>
      </c>
      <c r="G37" s="18">
        <v>1.8</v>
      </c>
      <c r="H37" s="3">
        <v>0.12</v>
      </c>
      <c r="I37" s="20">
        <f>E37-F37</f>
        <v>66</v>
      </c>
      <c r="J37" s="21">
        <f>I37/E37</f>
        <v>0.4</v>
      </c>
      <c r="K37" s="19">
        <f>D37*(1-A37)</f>
        <v>-105</v>
      </c>
    </row>
    <row r="38" spans="1:11" x14ac:dyDescent="0.35">
      <c r="A38">
        <v>37</v>
      </c>
      <c r="B38" t="s">
        <v>31</v>
      </c>
      <c r="C38">
        <v>90</v>
      </c>
      <c r="D38" s="17">
        <v>3</v>
      </c>
      <c r="E38" s="17">
        <f t="shared" si="0"/>
        <v>270</v>
      </c>
      <c r="F38" s="17">
        <f>C38*G38</f>
        <v>162</v>
      </c>
      <c r="G38" s="18">
        <v>1.8</v>
      </c>
      <c r="H38" s="3">
        <v>0.04</v>
      </c>
      <c r="I38" s="20">
        <f>E38-F38</f>
        <v>108</v>
      </c>
      <c r="J38" s="21">
        <f>I38/E38</f>
        <v>0.4</v>
      </c>
      <c r="K38" s="19">
        <f>D38*(1-A38)</f>
        <v>-108</v>
      </c>
    </row>
    <row r="39" spans="1:11" x14ac:dyDescent="0.35">
      <c r="A39">
        <v>38</v>
      </c>
      <c r="B39" t="s">
        <v>31</v>
      </c>
      <c r="C39">
        <v>35</v>
      </c>
      <c r="D39" s="17">
        <v>3</v>
      </c>
      <c r="E39" s="17">
        <f t="shared" si="0"/>
        <v>105</v>
      </c>
      <c r="F39" s="17">
        <f>C39*G39</f>
        <v>63</v>
      </c>
      <c r="G39" s="18">
        <v>1.8</v>
      </c>
      <c r="H39" s="3">
        <v>0.09</v>
      </c>
      <c r="I39" s="20">
        <f>E39-F39</f>
        <v>42</v>
      </c>
      <c r="J39" s="21">
        <f>I39/E39</f>
        <v>0.4</v>
      </c>
      <c r="K39" s="19">
        <f>D39*(1-A39)</f>
        <v>-111</v>
      </c>
    </row>
    <row r="40" spans="1:11" x14ac:dyDescent="0.35">
      <c r="A40">
        <v>39</v>
      </c>
      <c r="B40" t="s">
        <v>31</v>
      </c>
      <c r="C40">
        <v>15</v>
      </c>
      <c r="D40" s="17">
        <v>3</v>
      </c>
      <c r="E40" s="17">
        <f t="shared" si="0"/>
        <v>45</v>
      </c>
      <c r="F40" s="17">
        <f>C40*G40</f>
        <v>27</v>
      </c>
      <c r="G40" s="18">
        <v>1.8</v>
      </c>
      <c r="H40" s="3">
        <v>0.09</v>
      </c>
      <c r="I40" s="20">
        <f>E40-F40</f>
        <v>18</v>
      </c>
      <c r="J40" s="21">
        <f>I40/E40</f>
        <v>0.4</v>
      </c>
      <c r="K40" s="19">
        <f>D40*(1-A40)</f>
        <v>-114</v>
      </c>
    </row>
    <row r="41" spans="1:11" x14ac:dyDescent="0.35">
      <c r="A41">
        <v>40</v>
      </c>
      <c r="B41" t="s">
        <v>31</v>
      </c>
      <c r="C41">
        <v>45</v>
      </c>
      <c r="D41" s="17">
        <v>3</v>
      </c>
      <c r="E41" s="17">
        <f t="shared" si="0"/>
        <v>135</v>
      </c>
      <c r="F41" s="17">
        <f>C41*G41</f>
        <v>81</v>
      </c>
      <c r="G41" s="18">
        <v>1.8</v>
      </c>
      <c r="H41" s="3">
        <v>0.06</v>
      </c>
      <c r="I41" s="20">
        <f>E41-F41</f>
        <v>54</v>
      </c>
      <c r="J41" s="21">
        <f>I41/E41</f>
        <v>0.4</v>
      </c>
      <c r="K41" s="19">
        <f>D41*(1-A41)</f>
        <v>-117</v>
      </c>
    </row>
    <row r="42" spans="1:11" x14ac:dyDescent="0.35">
      <c r="A42">
        <v>41</v>
      </c>
      <c r="B42" t="s">
        <v>31</v>
      </c>
      <c r="C42">
        <v>30</v>
      </c>
      <c r="D42" s="17">
        <v>3</v>
      </c>
      <c r="E42" s="17">
        <f t="shared" si="0"/>
        <v>90</v>
      </c>
      <c r="F42" s="17">
        <f>C42*G42</f>
        <v>54</v>
      </c>
      <c r="G42" s="18">
        <v>1.8</v>
      </c>
      <c r="H42" s="3">
        <v>0.15</v>
      </c>
      <c r="I42" s="20">
        <f>E42-F42</f>
        <v>36</v>
      </c>
      <c r="J42" s="21">
        <f>I42/E42</f>
        <v>0.4</v>
      </c>
      <c r="K42" s="19">
        <f>D42*(1-A42)</f>
        <v>-120</v>
      </c>
    </row>
    <row r="43" spans="1:11" x14ac:dyDescent="0.35">
      <c r="A43">
        <v>42</v>
      </c>
      <c r="B43" t="s">
        <v>32</v>
      </c>
      <c r="C43">
        <v>84</v>
      </c>
      <c r="D43" s="18">
        <v>1.5</v>
      </c>
      <c r="E43" s="17">
        <f t="shared" si="0"/>
        <v>126</v>
      </c>
      <c r="F43" s="17">
        <f>C43*G43</f>
        <v>58.8</v>
      </c>
      <c r="G43" s="18">
        <v>0.7</v>
      </c>
      <c r="H43" s="4">
        <v>7.4999999999999997E-2</v>
      </c>
      <c r="I43" s="20">
        <f>E43-F43</f>
        <v>67.2</v>
      </c>
      <c r="J43" s="21">
        <f>I43/E43</f>
        <v>0.53333333333333333</v>
      </c>
      <c r="K43" s="19">
        <f>D43*(1-A43)</f>
        <v>-61.5</v>
      </c>
    </row>
    <row r="44" spans="1:11" x14ac:dyDescent="0.35">
      <c r="A44">
        <v>43</v>
      </c>
      <c r="B44" t="s">
        <v>32</v>
      </c>
      <c r="C44">
        <v>64</v>
      </c>
      <c r="D44" s="18">
        <v>1.5</v>
      </c>
      <c r="E44" s="17">
        <f t="shared" si="0"/>
        <v>96</v>
      </c>
      <c r="F44" s="17">
        <f>C44*G44</f>
        <v>44.8</v>
      </c>
      <c r="G44" s="18">
        <v>0.7</v>
      </c>
      <c r="H44" s="3">
        <v>0.06</v>
      </c>
      <c r="I44" s="20">
        <f>E44-F44</f>
        <v>51.2</v>
      </c>
      <c r="J44" s="21">
        <f>I44/E44</f>
        <v>0.53333333333333333</v>
      </c>
      <c r="K44" s="19">
        <f>D44*(1-A44)</f>
        <v>-63</v>
      </c>
    </row>
    <row r="45" spans="1:11" x14ac:dyDescent="0.35">
      <c r="A45">
        <v>44</v>
      </c>
      <c r="B45" t="s">
        <v>32</v>
      </c>
      <c r="C45">
        <v>53</v>
      </c>
      <c r="D45" s="18">
        <v>1.5</v>
      </c>
      <c r="E45" s="17">
        <f t="shared" si="0"/>
        <v>79.5</v>
      </c>
      <c r="F45" s="17">
        <f>C45*G45</f>
        <v>37.099999999999994</v>
      </c>
      <c r="G45" s="18">
        <v>0.7</v>
      </c>
      <c r="H45" s="3">
        <v>0.12</v>
      </c>
      <c r="I45" s="20">
        <f>E45-F45</f>
        <v>42.400000000000006</v>
      </c>
      <c r="J45" s="21">
        <f>I45/E45</f>
        <v>0.53333333333333344</v>
      </c>
      <c r="K45" s="19">
        <f>D45*(1-A45)</f>
        <v>-64.5</v>
      </c>
    </row>
    <row r="46" spans="1:11" x14ac:dyDescent="0.35">
      <c r="A46">
        <v>45</v>
      </c>
      <c r="B46" t="s">
        <v>32</v>
      </c>
      <c r="C46">
        <v>3</v>
      </c>
      <c r="D46" s="18">
        <v>1.5</v>
      </c>
      <c r="E46" s="17">
        <f t="shared" si="0"/>
        <v>4.5</v>
      </c>
      <c r="F46" s="17">
        <f>C46*G46</f>
        <v>2.0999999999999996</v>
      </c>
      <c r="G46" s="18">
        <v>0.7</v>
      </c>
      <c r="H46" s="3">
        <v>0</v>
      </c>
      <c r="I46" s="20">
        <f>E46-F46</f>
        <v>2.4000000000000004</v>
      </c>
      <c r="J46" s="21">
        <f>I46/E46</f>
        <v>0.53333333333333344</v>
      </c>
      <c r="K46" s="19">
        <f>D46*(1-A46)</f>
        <v>-66</v>
      </c>
    </row>
    <row r="47" spans="1:11" x14ac:dyDescent="0.35">
      <c r="A47">
        <v>46</v>
      </c>
      <c r="B47" t="s">
        <v>32</v>
      </c>
      <c r="C47">
        <v>2</v>
      </c>
      <c r="D47" s="18">
        <v>1.5</v>
      </c>
      <c r="E47" s="17">
        <f t="shared" si="0"/>
        <v>3</v>
      </c>
      <c r="F47" s="17">
        <f>C47*G47</f>
        <v>1.4</v>
      </c>
      <c r="G47" s="18">
        <v>0.7</v>
      </c>
      <c r="H47" s="3">
        <v>0</v>
      </c>
      <c r="I47" s="20">
        <f>E47-F47</f>
        <v>1.6</v>
      </c>
      <c r="J47" s="21">
        <f>I47/E47</f>
        <v>0.53333333333333333</v>
      </c>
      <c r="K47" s="19">
        <f>D47*(1-A47)</f>
        <v>-67.5</v>
      </c>
    </row>
    <row r="48" spans="1:11" x14ac:dyDescent="0.35">
      <c r="A48">
        <v>47</v>
      </c>
      <c r="B48" t="s">
        <v>32</v>
      </c>
      <c r="C48">
        <v>84</v>
      </c>
      <c r="D48" s="18">
        <v>1.4</v>
      </c>
      <c r="E48" s="17">
        <f t="shared" si="0"/>
        <v>117.6</v>
      </c>
      <c r="F48" s="17">
        <f>C48*G48</f>
        <v>33.6</v>
      </c>
      <c r="G48" s="18">
        <v>0.4</v>
      </c>
      <c r="H48" s="3">
        <v>0.12</v>
      </c>
      <c r="I48" s="20">
        <f>E48-F48</f>
        <v>84</v>
      </c>
      <c r="J48" s="21">
        <f>I48/E48</f>
        <v>0.7142857142857143</v>
      </c>
      <c r="K48" s="19">
        <f>D48*(1-A48)</f>
        <v>-64.399999999999991</v>
      </c>
    </row>
    <row r="49" spans="1:11" x14ac:dyDescent="0.35">
      <c r="A49">
        <v>48</v>
      </c>
      <c r="B49" t="s">
        <v>32</v>
      </c>
      <c r="C49">
        <v>75</v>
      </c>
      <c r="D49" s="18">
        <v>1.4</v>
      </c>
      <c r="E49" s="17">
        <f t="shared" si="0"/>
        <v>105</v>
      </c>
      <c r="F49" s="17">
        <f>C49*G49</f>
        <v>30</v>
      </c>
      <c r="G49" s="18">
        <v>0.4</v>
      </c>
      <c r="H49" s="4">
        <v>7.4999999999999997E-2</v>
      </c>
      <c r="I49" s="20">
        <f>E49-F49</f>
        <v>75</v>
      </c>
      <c r="J49" s="21">
        <f>I49/E49</f>
        <v>0.7142857142857143</v>
      </c>
      <c r="K49" s="19">
        <f>D49*(1-A49)</f>
        <v>-65.8</v>
      </c>
    </row>
    <row r="50" spans="1:11" x14ac:dyDescent="0.35">
      <c r="A50">
        <v>49</v>
      </c>
      <c r="B50" t="s">
        <v>32</v>
      </c>
      <c r="C50">
        <v>49</v>
      </c>
      <c r="D50" s="18">
        <v>1.4</v>
      </c>
      <c r="E50" s="17">
        <f t="shared" si="0"/>
        <v>68.599999999999994</v>
      </c>
      <c r="F50" s="17">
        <f>C50*G50</f>
        <v>19.600000000000001</v>
      </c>
      <c r="G50" s="18">
        <v>0.4</v>
      </c>
      <c r="H50" s="3">
        <v>0.12</v>
      </c>
      <c r="I50" s="20">
        <f>E50-F50</f>
        <v>48.999999999999993</v>
      </c>
      <c r="J50" s="21">
        <f>I50/E50</f>
        <v>0.71428571428571419</v>
      </c>
      <c r="K50" s="19">
        <f>D50*(1-A50)</f>
        <v>-67.199999999999989</v>
      </c>
    </row>
    <row r="51" spans="1:11" x14ac:dyDescent="0.35">
      <c r="A51">
        <v>50</v>
      </c>
      <c r="B51" t="s">
        <v>32</v>
      </c>
      <c r="C51">
        <v>67</v>
      </c>
      <c r="D51" s="18">
        <v>1.4</v>
      </c>
      <c r="E51" s="17">
        <f t="shared" si="0"/>
        <v>93.8</v>
      </c>
      <c r="F51" s="17">
        <f>C51*G51</f>
        <v>26.8</v>
      </c>
      <c r="G51" s="18">
        <v>0.4</v>
      </c>
      <c r="H51" s="3">
        <v>0.06</v>
      </c>
      <c r="I51" s="20">
        <f>E51-F51</f>
        <v>67</v>
      </c>
      <c r="J51" s="21">
        <f>I51/E51</f>
        <v>0.7142857142857143</v>
      </c>
      <c r="K51" s="19">
        <f>D51*(1-A51)</f>
        <v>-68.599999999999994</v>
      </c>
    </row>
    <row r="52" spans="1:11" x14ac:dyDescent="0.35">
      <c r="A52">
        <v>51</v>
      </c>
      <c r="B52" t="s">
        <v>32</v>
      </c>
      <c r="C52">
        <v>542</v>
      </c>
      <c r="D52" s="18">
        <v>1.4</v>
      </c>
      <c r="E52" s="17">
        <f t="shared" si="0"/>
        <v>758.8</v>
      </c>
      <c r="F52" s="17">
        <f>C52*G52</f>
        <v>216.8</v>
      </c>
      <c r="G52" s="18">
        <v>0.4</v>
      </c>
      <c r="H52" s="3">
        <v>0.04</v>
      </c>
      <c r="I52" s="20">
        <f>E52-F52</f>
        <v>542</v>
      </c>
      <c r="J52" s="21">
        <f>I52/E52</f>
        <v>0.7142857142857143</v>
      </c>
      <c r="K52" s="19">
        <f>D52*(1-A52)</f>
        <v>-70</v>
      </c>
    </row>
    <row r="53" spans="1:11" x14ac:dyDescent="0.35">
      <c r="A53">
        <v>52</v>
      </c>
      <c r="B53" t="s">
        <v>32</v>
      </c>
      <c r="C53">
        <v>1024</v>
      </c>
      <c r="D53" s="18">
        <v>1.4</v>
      </c>
      <c r="E53" s="17">
        <f t="shared" si="0"/>
        <v>1433.6</v>
      </c>
      <c r="F53" s="17">
        <f>C53*G53</f>
        <v>409.6</v>
      </c>
      <c r="G53" s="18">
        <v>0.4</v>
      </c>
      <c r="H53" s="3">
        <v>0.1</v>
      </c>
      <c r="I53" s="20">
        <f>E53-F53</f>
        <v>1023.9999999999999</v>
      </c>
      <c r="J53" s="21">
        <f>I53/E53</f>
        <v>0.7142857142857143</v>
      </c>
      <c r="K53" s="19">
        <f>D53*(1-A53)</f>
        <v>-71.399999999999991</v>
      </c>
    </row>
    <row r="54" spans="1:11" x14ac:dyDescent="0.35">
      <c r="A54">
        <v>53</v>
      </c>
      <c r="B54" t="s">
        <v>32</v>
      </c>
      <c r="C54">
        <v>278</v>
      </c>
      <c r="D54" s="17">
        <v>1</v>
      </c>
      <c r="E54" s="17">
        <f t="shared" si="0"/>
        <v>278</v>
      </c>
      <c r="F54" s="17">
        <f>C54*G54</f>
        <v>111.2</v>
      </c>
      <c r="G54" s="18">
        <v>0.4</v>
      </c>
      <c r="H54" s="3">
        <v>0.04</v>
      </c>
      <c r="I54" s="20">
        <f>E54-F54</f>
        <v>166.8</v>
      </c>
      <c r="J54" s="21">
        <f>I54/E54</f>
        <v>0.60000000000000009</v>
      </c>
      <c r="K54" s="19">
        <f>D54*(1-A54)</f>
        <v>-52</v>
      </c>
    </row>
    <row r="55" spans="1:11" x14ac:dyDescent="0.35">
      <c r="A55">
        <v>54</v>
      </c>
      <c r="B55" t="s">
        <v>32</v>
      </c>
      <c r="C55">
        <v>345</v>
      </c>
      <c r="D55" s="17">
        <v>1</v>
      </c>
      <c r="E55" s="17">
        <f t="shared" si="0"/>
        <v>345</v>
      </c>
      <c r="F55" s="17">
        <f>C55*G55</f>
        <v>138</v>
      </c>
      <c r="G55" s="18">
        <v>0.4</v>
      </c>
      <c r="H55" s="3">
        <v>0.03</v>
      </c>
      <c r="I55" s="20">
        <f>E55-F55</f>
        <v>207</v>
      </c>
      <c r="J55" s="21">
        <f>I55/E55</f>
        <v>0.6</v>
      </c>
      <c r="K55" s="19">
        <f>D55*(1-A55)</f>
        <v>-53</v>
      </c>
    </row>
    <row r="56" spans="1:11" x14ac:dyDescent="0.35">
      <c r="A56">
        <v>55</v>
      </c>
      <c r="B56" t="s">
        <v>32</v>
      </c>
      <c r="C56">
        <v>4</v>
      </c>
      <c r="D56" s="17">
        <v>1</v>
      </c>
      <c r="E56" s="17">
        <f t="shared" si="0"/>
        <v>4</v>
      </c>
      <c r="F56" s="17">
        <f>C56*G56</f>
        <v>1.6</v>
      </c>
      <c r="G56" s="18">
        <v>0.4</v>
      </c>
      <c r="H56" s="3">
        <v>0</v>
      </c>
      <c r="I56" s="20">
        <f>E56-F56</f>
        <v>2.4</v>
      </c>
      <c r="J56" s="21">
        <f>I56/E56</f>
        <v>0.6</v>
      </c>
      <c r="K56" s="19">
        <f>D56*(1-A56)</f>
        <v>-54</v>
      </c>
    </row>
    <row r="57" spans="1:11" x14ac:dyDescent="0.35">
      <c r="A57">
        <v>56</v>
      </c>
      <c r="B57" t="s">
        <v>32</v>
      </c>
      <c r="C57">
        <v>1</v>
      </c>
      <c r="D57" s="17">
        <v>1</v>
      </c>
      <c r="E57" s="17">
        <f t="shared" si="0"/>
        <v>1</v>
      </c>
      <c r="F57" s="17">
        <f>C57*G57</f>
        <v>0.4</v>
      </c>
      <c r="G57" s="18">
        <v>0.4</v>
      </c>
      <c r="H57" s="3">
        <v>0</v>
      </c>
      <c r="I57" s="20">
        <f>E57-F57</f>
        <v>0.6</v>
      </c>
      <c r="J57" s="21">
        <f>I57/E57</f>
        <v>0.6</v>
      </c>
      <c r="K57" s="19">
        <f>D57*(1-A57)</f>
        <v>-55</v>
      </c>
    </row>
    <row r="58" spans="1:11" x14ac:dyDescent="0.35">
      <c r="A58">
        <v>57</v>
      </c>
      <c r="B58" t="s">
        <v>32</v>
      </c>
      <c r="C58">
        <v>34</v>
      </c>
      <c r="D58" s="17">
        <v>1</v>
      </c>
      <c r="E58" s="17">
        <f t="shared" si="0"/>
        <v>34</v>
      </c>
      <c r="F58" s="17">
        <f>C58*G58</f>
        <v>13.600000000000001</v>
      </c>
      <c r="G58" s="18">
        <v>0.4</v>
      </c>
      <c r="H58" s="4">
        <v>7.4999999999999997E-2</v>
      </c>
      <c r="I58" s="20">
        <f>E58-F58</f>
        <v>20.399999999999999</v>
      </c>
      <c r="J58" s="21">
        <f>I58/E58</f>
        <v>0.6</v>
      </c>
      <c r="K58" s="19">
        <f>D58*(1-A58)</f>
        <v>-56</v>
      </c>
    </row>
    <row r="59" spans="1:11" x14ac:dyDescent="0.35">
      <c r="A59">
        <v>58</v>
      </c>
      <c r="B59" t="s">
        <v>32</v>
      </c>
      <c r="C59">
        <v>77</v>
      </c>
      <c r="D59" s="17">
        <v>1</v>
      </c>
      <c r="E59" s="17">
        <f t="shared" si="0"/>
        <v>77</v>
      </c>
      <c r="F59" s="17">
        <f>C59*G59</f>
        <v>30.8</v>
      </c>
      <c r="G59" s="18">
        <v>0.4</v>
      </c>
      <c r="H59" s="3">
        <v>0.06</v>
      </c>
      <c r="I59" s="20">
        <f>E59-F59</f>
        <v>46.2</v>
      </c>
      <c r="J59" s="21">
        <f>I59/E59</f>
        <v>0.60000000000000009</v>
      </c>
      <c r="K59" s="19">
        <f>D59*(1-A59)</f>
        <v>-57</v>
      </c>
    </row>
    <row r="60" spans="1:11" x14ac:dyDescent="0.35">
      <c r="A60">
        <v>59</v>
      </c>
      <c r="B60" t="s">
        <v>32</v>
      </c>
      <c r="C60">
        <v>34</v>
      </c>
      <c r="D60" s="18">
        <v>2.2999999999999998</v>
      </c>
      <c r="E60" s="17">
        <f t="shared" si="0"/>
        <v>78.199999999999989</v>
      </c>
      <c r="F60" s="17">
        <f>C60*G60</f>
        <v>40.799999999999997</v>
      </c>
      <c r="G60" s="18">
        <v>1.2</v>
      </c>
      <c r="H60" s="3">
        <v>0.05</v>
      </c>
      <c r="I60" s="20">
        <f>E60-F60</f>
        <v>37.399999999999991</v>
      </c>
      <c r="J60" s="21">
        <f>I60/E60</f>
        <v>0.47826086956521735</v>
      </c>
      <c r="K60" s="19">
        <f>D60*(1-A60)</f>
        <v>-133.39999999999998</v>
      </c>
    </row>
    <row r="61" spans="1:11" x14ac:dyDescent="0.35">
      <c r="A61">
        <v>60</v>
      </c>
      <c r="B61" t="s">
        <v>32</v>
      </c>
      <c r="C61">
        <v>187</v>
      </c>
      <c r="D61" s="18">
        <v>2.2999999999999998</v>
      </c>
      <c r="E61" s="17">
        <f t="shared" si="0"/>
        <v>430.09999999999997</v>
      </c>
      <c r="F61" s="17">
        <f>C61*G61</f>
        <v>224.4</v>
      </c>
      <c r="G61" s="18">
        <v>1.2</v>
      </c>
      <c r="H61" s="3">
        <v>0.03</v>
      </c>
      <c r="I61" s="20">
        <f>E61-F61</f>
        <v>205.69999999999996</v>
      </c>
      <c r="J61" s="21">
        <f>I61/E61</f>
        <v>0.47826086956521735</v>
      </c>
      <c r="K61" s="19">
        <f>D61*(1-A61)</f>
        <v>-135.69999999999999</v>
      </c>
    </row>
    <row r="62" spans="1:11" x14ac:dyDescent="0.35">
      <c r="A62">
        <v>61</v>
      </c>
      <c r="B62" t="s">
        <v>32</v>
      </c>
      <c r="C62">
        <v>798</v>
      </c>
      <c r="D62" s="18">
        <v>2.2999999999999998</v>
      </c>
      <c r="E62" s="17">
        <f t="shared" si="0"/>
        <v>1835.3999999999999</v>
      </c>
      <c r="F62" s="17">
        <f>C62*G62</f>
        <v>957.59999999999991</v>
      </c>
      <c r="G62" s="18">
        <v>1.2</v>
      </c>
      <c r="H62" s="3">
        <v>0.1</v>
      </c>
      <c r="I62" s="20">
        <f>E62-F62</f>
        <v>877.8</v>
      </c>
      <c r="J62" s="21">
        <f>I62/E62</f>
        <v>0.47826086956521741</v>
      </c>
      <c r="K62" s="19">
        <f>D62*(1-A62)</f>
        <v>-138</v>
      </c>
    </row>
    <row r="63" spans="1:11" x14ac:dyDescent="0.35">
      <c r="A63">
        <v>62</v>
      </c>
      <c r="B63" t="s">
        <v>32</v>
      </c>
      <c r="C63">
        <v>6</v>
      </c>
      <c r="D63" s="18">
        <v>2.2999999999999998</v>
      </c>
      <c r="E63" s="17">
        <f t="shared" si="0"/>
        <v>13.799999999999999</v>
      </c>
      <c r="F63" s="17">
        <f>C63*G63</f>
        <v>7.1999999999999993</v>
      </c>
      <c r="G63" s="18">
        <v>1.2</v>
      </c>
      <c r="H63" s="3">
        <v>0</v>
      </c>
      <c r="I63" s="20">
        <f>E63-F63</f>
        <v>6.6</v>
      </c>
      <c r="J63" s="21">
        <f>I63/E63</f>
        <v>0.47826086956521741</v>
      </c>
      <c r="K63" s="19">
        <f>D63*(1-A63)</f>
        <v>-140.29999999999998</v>
      </c>
    </row>
    <row r="64" spans="1:11" x14ac:dyDescent="0.35">
      <c r="A64">
        <v>63</v>
      </c>
      <c r="B64" t="s">
        <v>32</v>
      </c>
      <c r="C64">
        <v>24</v>
      </c>
      <c r="D64" s="18">
        <v>2.2999999999999998</v>
      </c>
      <c r="E64" s="17">
        <f t="shared" si="0"/>
        <v>55.199999999999996</v>
      </c>
      <c r="F64" s="17">
        <f>C64*G64</f>
        <v>28.799999999999997</v>
      </c>
      <c r="G64" s="18">
        <v>1.2</v>
      </c>
      <c r="H64" s="4">
        <v>7.4999999999999997E-2</v>
      </c>
      <c r="I64" s="20">
        <f>E64-F64</f>
        <v>26.4</v>
      </c>
      <c r="J64" s="21">
        <f>I64/E64</f>
        <v>0.47826086956521741</v>
      </c>
      <c r="K64" s="19">
        <f>D64*(1-A64)</f>
        <v>-142.6</v>
      </c>
    </row>
    <row r="65" spans="1:11" x14ac:dyDescent="0.35">
      <c r="A65">
        <v>64</v>
      </c>
      <c r="B65" t="s">
        <v>32</v>
      </c>
      <c r="C65">
        <v>67</v>
      </c>
      <c r="D65" s="18">
        <v>2.2999999999999998</v>
      </c>
      <c r="E65" s="17">
        <f t="shared" si="0"/>
        <v>154.1</v>
      </c>
      <c r="F65" s="17">
        <f>C65*G65</f>
        <v>80.399999999999991</v>
      </c>
      <c r="G65" s="18">
        <v>1.2</v>
      </c>
      <c r="H65" s="3">
        <v>0.12</v>
      </c>
      <c r="I65" s="20">
        <f>E65-F65</f>
        <v>73.7</v>
      </c>
      <c r="J65" s="21">
        <f>I65/E65</f>
        <v>0.47826086956521741</v>
      </c>
      <c r="K65" s="19">
        <f>E65-A65</f>
        <v>90.1</v>
      </c>
    </row>
    <row r="66" spans="1:11" x14ac:dyDescent="0.35">
      <c r="A66">
        <v>65</v>
      </c>
      <c r="B66" t="s">
        <v>32</v>
      </c>
      <c r="C66">
        <v>59</v>
      </c>
      <c r="D66" s="18">
        <v>2.2999999999999998</v>
      </c>
      <c r="E66" s="17">
        <f t="shared" si="0"/>
        <v>135.69999999999999</v>
      </c>
      <c r="F66" s="17">
        <f>C66*G66</f>
        <v>70.8</v>
      </c>
      <c r="G66" s="18">
        <v>1.2</v>
      </c>
      <c r="H66" s="3">
        <v>0.06</v>
      </c>
      <c r="I66" s="20">
        <f>E66-F66</f>
        <v>64.899999999999991</v>
      </c>
      <c r="J66" s="21">
        <f>I66/E66</f>
        <v>0.47826086956521735</v>
      </c>
      <c r="K66" s="19">
        <f>E66-A66</f>
        <v>70.699999999999989</v>
      </c>
    </row>
    <row r="67" spans="1:11" x14ac:dyDescent="0.35">
      <c r="A67">
        <v>66</v>
      </c>
      <c r="B67" t="s">
        <v>32</v>
      </c>
      <c r="C67">
        <v>37</v>
      </c>
      <c r="D67" s="17">
        <v>2</v>
      </c>
      <c r="E67" s="17">
        <f t="shared" ref="E67:E121" si="1">C67*D67</f>
        <v>74</v>
      </c>
      <c r="F67" s="17">
        <f>C67*G67</f>
        <v>44.4</v>
      </c>
      <c r="G67" s="18">
        <v>1.2</v>
      </c>
      <c r="H67" s="4">
        <v>7.4999999999999997E-2</v>
      </c>
      <c r="I67" s="20">
        <f>E67-F67</f>
        <v>29.6</v>
      </c>
      <c r="J67" s="21">
        <f>I67/E67</f>
        <v>0.4</v>
      </c>
      <c r="K67" s="19">
        <f>E67-A67</f>
        <v>8</v>
      </c>
    </row>
    <row r="68" spans="1:11" x14ac:dyDescent="0.35">
      <c r="A68">
        <v>67</v>
      </c>
      <c r="B68" t="s">
        <v>32</v>
      </c>
      <c r="C68">
        <v>48</v>
      </c>
      <c r="D68" s="17">
        <v>2</v>
      </c>
      <c r="E68" s="17">
        <f t="shared" si="1"/>
        <v>96</v>
      </c>
      <c r="F68" s="17">
        <f>C68*G68</f>
        <v>57.599999999999994</v>
      </c>
      <c r="G68" s="18">
        <v>1.2</v>
      </c>
      <c r="H68" s="3">
        <v>0.06</v>
      </c>
      <c r="I68" s="20">
        <f>E68-F68</f>
        <v>38.400000000000006</v>
      </c>
      <c r="J68" s="21">
        <f>I68/E68</f>
        <v>0.40000000000000008</v>
      </c>
      <c r="K68" s="19">
        <f>E68-A68</f>
        <v>29</v>
      </c>
    </row>
    <row r="69" spans="1:11" x14ac:dyDescent="0.35">
      <c r="A69">
        <v>68</v>
      </c>
      <c r="B69" t="s">
        <v>32</v>
      </c>
      <c r="C69">
        <v>2</v>
      </c>
      <c r="D69" s="17">
        <v>2</v>
      </c>
      <c r="E69" s="17">
        <f t="shared" si="1"/>
        <v>4</v>
      </c>
      <c r="F69" s="17">
        <f>C69*G69</f>
        <v>2.4</v>
      </c>
      <c r="G69" s="18">
        <v>1.2</v>
      </c>
      <c r="H69" s="3">
        <v>0</v>
      </c>
      <c r="I69" s="20">
        <f>E69-F69</f>
        <v>1.6</v>
      </c>
      <c r="J69" s="21">
        <f>I69/E69</f>
        <v>0.4</v>
      </c>
      <c r="K69" s="19">
        <f>E69-A69</f>
        <v>-64</v>
      </c>
    </row>
    <row r="70" spans="1:11" x14ac:dyDescent="0.35">
      <c r="A70">
        <v>69</v>
      </c>
      <c r="B70" t="s">
        <v>32</v>
      </c>
      <c r="C70">
        <v>3</v>
      </c>
      <c r="D70" s="17">
        <v>2</v>
      </c>
      <c r="E70" s="17">
        <f t="shared" si="1"/>
        <v>6</v>
      </c>
      <c r="F70" s="17">
        <f>C70*G70</f>
        <v>3.5999999999999996</v>
      </c>
      <c r="G70" s="18">
        <v>1.2</v>
      </c>
      <c r="H70" s="3">
        <v>0</v>
      </c>
      <c r="I70" s="20">
        <f>E70-F70</f>
        <v>2.4000000000000004</v>
      </c>
      <c r="J70" s="21">
        <f>I70/E70</f>
        <v>0.40000000000000008</v>
      </c>
      <c r="K70" s="19">
        <f>E70-A70</f>
        <v>-63</v>
      </c>
    </row>
    <row r="71" spans="1:11" x14ac:dyDescent="0.35">
      <c r="A71">
        <v>70</v>
      </c>
      <c r="B71" t="s">
        <v>32</v>
      </c>
      <c r="C71">
        <v>381</v>
      </c>
      <c r="D71" s="17">
        <v>2</v>
      </c>
      <c r="E71" s="17">
        <f t="shared" si="1"/>
        <v>762</v>
      </c>
      <c r="F71" s="17">
        <f>C71*G71</f>
        <v>457.2</v>
      </c>
      <c r="G71" s="18">
        <v>1.2</v>
      </c>
      <c r="H71" s="4">
        <v>2.5000000000000001E-2</v>
      </c>
      <c r="I71" s="20">
        <f>E71-F71</f>
        <v>304.8</v>
      </c>
      <c r="J71" s="21">
        <f>I71/E71</f>
        <v>0.4</v>
      </c>
      <c r="K71" s="19">
        <f>E71-A71</f>
        <v>692</v>
      </c>
    </row>
    <row r="72" spans="1:11" x14ac:dyDescent="0.35">
      <c r="A72">
        <v>71</v>
      </c>
      <c r="B72" t="s">
        <v>32</v>
      </c>
      <c r="C72">
        <v>326</v>
      </c>
      <c r="D72" s="17">
        <v>2</v>
      </c>
      <c r="E72" s="17">
        <f t="shared" si="1"/>
        <v>652</v>
      </c>
      <c r="F72" s="17">
        <f>C72*G72</f>
        <v>391.2</v>
      </c>
      <c r="G72" s="18">
        <v>1.2</v>
      </c>
      <c r="H72" s="3">
        <v>7.0000000000000007E-2</v>
      </c>
      <c r="I72" s="20">
        <f>E72-F72</f>
        <v>260.8</v>
      </c>
      <c r="J72" s="21">
        <f>I72/E72</f>
        <v>0.4</v>
      </c>
      <c r="K72" s="19">
        <f>E72-A72</f>
        <v>581</v>
      </c>
    </row>
    <row r="73" spans="1:11" x14ac:dyDescent="0.35">
      <c r="A73">
        <v>72</v>
      </c>
      <c r="B73" t="s">
        <v>32</v>
      </c>
      <c r="C73">
        <v>41</v>
      </c>
      <c r="D73" s="17">
        <v>2</v>
      </c>
      <c r="E73" s="17">
        <f t="shared" si="1"/>
        <v>82</v>
      </c>
      <c r="F73" s="17">
        <f>C73*G73</f>
        <v>49.199999999999996</v>
      </c>
      <c r="G73" s="18">
        <v>1.2</v>
      </c>
      <c r="H73" s="3">
        <v>0.05</v>
      </c>
      <c r="I73" s="20">
        <f>E73-F73</f>
        <v>32.800000000000004</v>
      </c>
      <c r="J73" s="21">
        <f>I73/E73</f>
        <v>0.40000000000000008</v>
      </c>
      <c r="K73" s="19">
        <f>E73-A73</f>
        <v>10</v>
      </c>
    </row>
    <row r="74" spans="1:11" x14ac:dyDescent="0.35">
      <c r="A74">
        <v>73</v>
      </c>
      <c r="B74" t="s">
        <v>32</v>
      </c>
      <c r="C74">
        <v>29</v>
      </c>
      <c r="D74" s="17">
        <v>2</v>
      </c>
      <c r="E74" s="17">
        <f t="shared" si="1"/>
        <v>58</v>
      </c>
      <c r="F74" s="17">
        <f>C74*G74</f>
        <v>34.799999999999997</v>
      </c>
      <c r="G74" s="18">
        <v>1.2</v>
      </c>
      <c r="H74" s="3">
        <v>0.1</v>
      </c>
      <c r="I74" s="20">
        <f>E74-F74</f>
        <v>23.200000000000003</v>
      </c>
      <c r="J74" s="21">
        <f>I74/E74</f>
        <v>0.4</v>
      </c>
      <c r="K74" s="19">
        <f>E74-A74</f>
        <v>-15</v>
      </c>
    </row>
    <row r="75" spans="1:11" x14ac:dyDescent="0.35">
      <c r="A75">
        <v>74</v>
      </c>
      <c r="B75" t="s">
        <v>32</v>
      </c>
      <c r="C75">
        <v>28</v>
      </c>
      <c r="D75" s="17">
        <v>2</v>
      </c>
      <c r="E75" s="17">
        <f t="shared" si="1"/>
        <v>56</v>
      </c>
      <c r="F75" s="17">
        <f>C75*G75</f>
        <v>33.6</v>
      </c>
      <c r="G75" s="18">
        <v>1.2</v>
      </c>
      <c r="H75" s="3">
        <v>0.08</v>
      </c>
      <c r="I75" s="20">
        <f>E75-F75</f>
        <v>22.4</v>
      </c>
      <c r="J75" s="21">
        <f>I75/E75</f>
        <v>0.39999999999999997</v>
      </c>
      <c r="K75" s="19">
        <f>E75-A75</f>
        <v>-18</v>
      </c>
    </row>
    <row r="76" spans="1:11" x14ac:dyDescent="0.35">
      <c r="A76">
        <v>75</v>
      </c>
      <c r="B76" t="s">
        <v>32</v>
      </c>
      <c r="C76">
        <v>35</v>
      </c>
      <c r="D76" s="17">
        <v>2</v>
      </c>
      <c r="E76" s="17">
        <f t="shared" si="1"/>
        <v>70</v>
      </c>
      <c r="F76" s="17">
        <f>C76*G76</f>
        <v>42</v>
      </c>
      <c r="G76" s="18">
        <v>1.2</v>
      </c>
      <c r="H76" s="3">
        <v>0.06</v>
      </c>
      <c r="I76" s="20">
        <f>E76-F76</f>
        <v>28</v>
      </c>
      <c r="J76" s="21">
        <f>I76/E76</f>
        <v>0.4</v>
      </c>
      <c r="K76" s="19">
        <f>E76-A76</f>
        <v>-5</v>
      </c>
    </row>
    <row r="77" spans="1:11" x14ac:dyDescent="0.35">
      <c r="A77">
        <v>76</v>
      </c>
      <c r="B77" t="s">
        <v>29</v>
      </c>
      <c r="C77">
        <v>120</v>
      </c>
      <c r="D77" s="17">
        <v>5</v>
      </c>
      <c r="E77" s="17">
        <f t="shared" si="1"/>
        <v>600</v>
      </c>
      <c r="F77" s="17">
        <f>C77*G77</f>
        <v>240</v>
      </c>
      <c r="G77" s="17">
        <v>2</v>
      </c>
      <c r="H77" s="4">
        <v>7.4999999999999997E-2</v>
      </c>
      <c r="I77" s="20">
        <f>E77-F77</f>
        <v>360</v>
      </c>
      <c r="J77" s="21">
        <f>I77/E77</f>
        <v>0.6</v>
      </c>
      <c r="K77" s="19">
        <f>E77-A77</f>
        <v>524</v>
      </c>
    </row>
    <row r="78" spans="1:11" x14ac:dyDescent="0.35">
      <c r="A78">
        <v>77</v>
      </c>
      <c r="B78" t="s">
        <v>29</v>
      </c>
      <c r="C78">
        <v>85</v>
      </c>
      <c r="D78" s="17">
        <v>5</v>
      </c>
      <c r="E78" s="17">
        <f t="shared" si="1"/>
        <v>425</v>
      </c>
      <c r="F78" s="17">
        <f>C78*G78</f>
        <v>170</v>
      </c>
      <c r="G78" s="17">
        <v>2</v>
      </c>
      <c r="H78" s="3">
        <v>0.06</v>
      </c>
      <c r="I78" s="20">
        <f>E78-F78</f>
        <v>255</v>
      </c>
      <c r="J78" s="21">
        <f>I78/E78</f>
        <v>0.6</v>
      </c>
      <c r="K78" s="19">
        <f>E78-A78</f>
        <v>348</v>
      </c>
    </row>
    <row r="79" spans="1:11" x14ac:dyDescent="0.35">
      <c r="A79">
        <v>78</v>
      </c>
      <c r="B79" t="s">
        <v>34</v>
      </c>
      <c r="C79">
        <v>36</v>
      </c>
      <c r="D79" s="17">
        <v>5</v>
      </c>
      <c r="E79" s="17">
        <f t="shared" si="1"/>
        <v>180</v>
      </c>
      <c r="F79" s="17">
        <f>C79*G79</f>
        <v>72</v>
      </c>
      <c r="G79" s="17">
        <v>2</v>
      </c>
      <c r="H79" s="3">
        <v>0.12</v>
      </c>
      <c r="I79" s="20">
        <f>E79-F79</f>
        <v>108</v>
      </c>
      <c r="J79" s="21">
        <f>I79/E79</f>
        <v>0.6</v>
      </c>
      <c r="K79" s="19">
        <f>E79-A79</f>
        <v>102</v>
      </c>
    </row>
    <row r="80" spans="1:11" x14ac:dyDescent="0.35">
      <c r="A80">
        <v>79</v>
      </c>
      <c r="B80" t="s">
        <v>34</v>
      </c>
      <c r="C80">
        <v>42</v>
      </c>
      <c r="D80" s="17">
        <v>5</v>
      </c>
      <c r="E80" s="17">
        <f t="shared" si="1"/>
        <v>210</v>
      </c>
      <c r="F80" s="17">
        <f>C80*G80</f>
        <v>84</v>
      </c>
      <c r="G80" s="17">
        <v>2</v>
      </c>
      <c r="H80" s="3">
        <v>0.09</v>
      </c>
      <c r="I80" s="20">
        <f>E80-F80</f>
        <v>126</v>
      </c>
      <c r="J80" s="21">
        <f>I80/E80</f>
        <v>0.6</v>
      </c>
      <c r="K80" s="19">
        <f>E80-A80</f>
        <v>131</v>
      </c>
    </row>
    <row r="81" spans="1:11" x14ac:dyDescent="0.35">
      <c r="A81">
        <v>80</v>
      </c>
      <c r="B81" t="s">
        <v>33</v>
      </c>
      <c r="C81">
        <v>84</v>
      </c>
      <c r="D81" s="17">
        <v>5</v>
      </c>
      <c r="E81" s="17">
        <f t="shared" si="1"/>
        <v>420</v>
      </c>
      <c r="F81" s="17">
        <f>C81*G81</f>
        <v>168</v>
      </c>
      <c r="G81" s="17">
        <v>2</v>
      </c>
      <c r="H81" s="3">
        <v>0.09</v>
      </c>
      <c r="I81" s="20">
        <f>E81-F81</f>
        <v>252</v>
      </c>
      <c r="J81" s="21">
        <f>I81/E81</f>
        <v>0.6</v>
      </c>
      <c r="K81" s="19">
        <f>E81-A81</f>
        <v>340</v>
      </c>
    </row>
    <row r="82" spans="1:11" x14ac:dyDescent="0.35">
      <c r="A82">
        <v>81</v>
      </c>
      <c r="B82" t="s">
        <v>35</v>
      </c>
      <c r="C82">
        <v>154</v>
      </c>
      <c r="D82" s="17">
        <v>5</v>
      </c>
      <c r="E82" s="17">
        <f t="shared" si="1"/>
        <v>770</v>
      </c>
      <c r="F82" s="17">
        <f>C82*G82</f>
        <v>308</v>
      </c>
      <c r="G82" s="17">
        <v>2</v>
      </c>
      <c r="H82" s="3">
        <v>7.0000000000000007E-2</v>
      </c>
      <c r="I82" s="20">
        <f>E82-F82</f>
        <v>462</v>
      </c>
      <c r="J82" s="21">
        <f>I82/E82</f>
        <v>0.6</v>
      </c>
      <c r="K82" s="19">
        <f>E82-A82</f>
        <v>689</v>
      </c>
    </row>
    <row r="83" spans="1:11" x14ac:dyDescent="0.35">
      <c r="A83">
        <v>82</v>
      </c>
      <c r="B83" t="s">
        <v>33</v>
      </c>
      <c r="C83">
        <v>133</v>
      </c>
      <c r="D83" s="17">
        <v>5</v>
      </c>
      <c r="E83" s="17">
        <f t="shared" si="1"/>
        <v>665</v>
      </c>
      <c r="F83" s="17">
        <f>C83*G83</f>
        <v>266</v>
      </c>
      <c r="G83" s="17">
        <v>2</v>
      </c>
      <c r="H83" s="3">
        <v>0.1</v>
      </c>
      <c r="I83" s="20">
        <f>E83-F83</f>
        <v>399</v>
      </c>
      <c r="J83" s="21">
        <f>I83/E83</f>
        <v>0.6</v>
      </c>
      <c r="K83" s="19">
        <f>E83-A83</f>
        <v>583</v>
      </c>
    </row>
    <row r="84" spans="1:11" x14ac:dyDescent="0.35">
      <c r="A84">
        <v>83</v>
      </c>
      <c r="B84" t="s">
        <v>33</v>
      </c>
      <c r="C84">
        <v>95</v>
      </c>
      <c r="D84" s="17">
        <v>5</v>
      </c>
      <c r="E84" s="17">
        <f t="shared" si="1"/>
        <v>475</v>
      </c>
      <c r="F84" s="17">
        <f>C84*G84</f>
        <v>190</v>
      </c>
      <c r="G84" s="17">
        <v>2</v>
      </c>
      <c r="H84" s="3">
        <v>0.03</v>
      </c>
      <c r="I84" s="20">
        <f>E84-F84</f>
        <v>285</v>
      </c>
      <c r="J84" s="21">
        <f>I84/E84</f>
        <v>0.6</v>
      </c>
      <c r="K84" s="19">
        <f>E84-A84</f>
        <v>392</v>
      </c>
    </row>
    <row r="85" spans="1:11" x14ac:dyDescent="0.35">
      <c r="A85">
        <v>84</v>
      </c>
      <c r="B85" t="s">
        <v>35</v>
      </c>
      <c r="C85">
        <v>42</v>
      </c>
      <c r="D85" s="17">
        <v>5</v>
      </c>
      <c r="E85" s="17">
        <f t="shared" si="1"/>
        <v>210</v>
      </c>
      <c r="F85" s="17">
        <f>C85*G85</f>
        <v>84</v>
      </c>
      <c r="G85" s="17">
        <v>2</v>
      </c>
      <c r="H85" s="3">
        <v>0.1</v>
      </c>
      <c r="I85" s="20">
        <f>E85-F85</f>
        <v>126</v>
      </c>
      <c r="J85" s="21">
        <f>I85/E85</f>
        <v>0.6</v>
      </c>
      <c r="K85" s="19">
        <f>E85-A85</f>
        <v>126</v>
      </c>
    </row>
    <row r="86" spans="1:11" x14ac:dyDescent="0.35">
      <c r="A86">
        <v>85</v>
      </c>
      <c r="B86" t="s">
        <v>35</v>
      </c>
      <c r="C86">
        <v>31</v>
      </c>
      <c r="D86" s="17">
        <v>5</v>
      </c>
      <c r="E86" s="17">
        <f t="shared" si="1"/>
        <v>155</v>
      </c>
      <c r="F86" s="17">
        <f>C86*G86</f>
        <v>62</v>
      </c>
      <c r="G86" s="17">
        <v>2</v>
      </c>
      <c r="H86" s="3">
        <v>0.05</v>
      </c>
      <c r="I86" s="20">
        <f>E86-F86</f>
        <v>93</v>
      </c>
      <c r="J86" s="21">
        <f>I86/E86</f>
        <v>0.6</v>
      </c>
      <c r="K86" s="19">
        <f>E86-A86</f>
        <v>70</v>
      </c>
    </row>
    <row r="87" spans="1:11" x14ac:dyDescent="0.35">
      <c r="A87">
        <v>86</v>
      </c>
      <c r="B87" t="s">
        <v>33</v>
      </c>
      <c r="C87">
        <v>40</v>
      </c>
      <c r="D87" s="17">
        <v>5</v>
      </c>
      <c r="E87" s="17">
        <f t="shared" si="1"/>
        <v>200</v>
      </c>
      <c r="F87" s="17">
        <f>C87*G87</f>
        <v>80</v>
      </c>
      <c r="G87" s="17">
        <v>2</v>
      </c>
      <c r="H87" s="3">
        <v>0.08</v>
      </c>
      <c r="I87" s="20">
        <f>E87-F87</f>
        <v>120</v>
      </c>
      <c r="J87" s="21">
        <f>I87/E87</f>
        <v>0.6</v>
      </c>
      <c r="K87" s="19">
        <f>E87-A87</f>
        <v>114</v>
      </c>
    </row>
    <row r="88" spans="1:11" x14ac:dyDescent="0.35">
      <c r="A88">
        <v>87</v>
      </c>
      <c r="B88" t="s">
        <v>33</v>
      </c>
      <c r="C88">
        <v>25</v>
      </c>
      <c r="D88" s="17">
        <v>10</v>
      </c>
      <c r="E88" s="17">
        <f t="shared" si="1"/>
        <v>250</v>
      </c>
      <c r="F88" s="17">
        <f>C88*G88</f>
        <v>150</v>
      </c>
      <c r="G88" s="17">
        <v>6</v>
      </c>
      <c r="H88" s="3">
        <v>0.06</v>
      </c>
      <c r="I88" s="20">
        <f>E88-F88</f>
        <v>100</v>
      </c>
      <c r="J88" s="21">
        <f>I88/E88</f>
        <v>0.4</v>
      </c>
      <c r="K88" s="19">
        <f>E88-A88</f>
        <v>163</v>
      </c>
    </row>
    <row r="89" spans="1:11" x14ac:dyDescent="0.35">
      <c r="A89">
        <v>88</v>
      </c>
      <c r="B89" t="s">
        <v>34</v>
      </c>
      <c r="C89">
        <v>30</v>
      </c>
      <c r="D89" s="17">
        <v>10</v>
      </c>
      <c r="E89" s="17">
        <f t="shared" si="1"/>
        <v>300</v>
      </c>
      <c r="F89" s="17">
        <f>C89*G89</f>
        <v>180</v>
      </c>
      <c r="G89" s="17">
        <v>6</v>
      </c>
      <c r="H89" s="3">
        <v>0.02</v>
      </c>
      <c r="I89" s="20">
        <f>E89-F89</f>
        <v>120</v>
      </c>
      <c r="J89" s="21">
        <f>I89/E89</f>
        <v>0.4</v>
      </c>
      <c r="K89" s="19">
        <f>E89-A89</f>
        <v>212</v>
      </c>
    </row>
    <row r="90" spans="1:11" x14ac:dyDescent="0.35">
      <c r="A90">
        <v>89</v>
      </c>
      <c r="B90" t="s">
        <v>34</v>
      </c>
      <c r="C90">
        <v>15</v>
      </c>
      <c r="D90" s="17">
        <v>10</v>
      </c>
      <c r="E90" s="17">
        <f t="shared" si="1"/>
        <v>150</v>
      </c>
      <c r="F90" s="17">
        <f>C90*G90</f>
        <v>90</v>
      </c>
      <c r="G90" s="17">
        <v>6</v>
      </c>
      <c r="H90" s="3">
        <v>0.15</v>
      </c>
      <c r="I90" s="20">
        <f>E90-F90</f>
        <v>60</v>
      </c>
      <c r="J90" s="21">
        <f>I90/E90</f>
        <v>0.4</v>
      </c>
      <c r="K90" s="19">
        <f>E90-A90</f>
        <v>61</v>
      </c>
    </row>
    <row r="91" spans="1:11" x14ac:dyDescent="0.35">
      <c r="A91">
        <v>90</v>
      </c>
      <c r="B91" t="s">
        <v>35</v>
      </c>
      <c r="C91">
        <v>61</v>
      </c>
      <c r="D91" s="17">
        <v>10</v>
      </c>
      <c r="E91" s="17">
        <f t="shared" si="1"/>
        <v>610</v>
      </c>
      <c r="F91" s="17">
        <f>C91*G91</f>
        <v>366</v>
      </c>
      <c r="G91" s="17">
        <v>6</v>
      </c>
      <c r="H91" s="3">
        <v>0.09</v>
      </c>
      <c r="I91" s="20">
        <f>E91-F91</f>
        <v>244</v>
      </c>
      <c r="J91" s="21">
        <f>I91/E91</f>
        <v>0.4</v>
      </c>
      <c r="K91" s="19">
        <f>E91-A91</f>
        <v>520</v>
      </c>
    </row>
    <row r="92" spans="1:11" x14ac:dyDescent="0.35">
      <c r="A92">
        <v>91</v>
      </c>
      <c r="B92" t="s">
        <v>35</v>
      </c>
      <c r="C92">
        <v>26</v>
      </c>
      <c r="D92" s="17">
        <v>10</v>
      </c>
      <c r="E92" s="17">
        <f t="shared" si="1"/>
        <v>260</v>
      </c>
      <c r="F92" s="17">
        <f>C92*G92</f>
        <v>156</v>
      </c>
      <c r="G92" s="17">
        <v>6</v>
      </c>
      <c r="H92" s="3">
        <v>0.09</v>
      </c>
      <c r="I92" s="20">
        <f>E92-F92</f>
        <v>104</v>
      </c>
      <c r="J92" s="21">
        <f>I92/E92</f>
        <v>0.4</v>
      </c>
      <c r="K92" s="19">
        <f>E92-A92</f>
        <v>169</v>
      </c>
    </row>
    <row r="93" spans="1:11" x14ac:dyDescent="0.35">
      <c r="A93">
        <v>92</v>
      </c>
      <c r="B93" t="s">
        <v>35</v>
      </c>
      <c r="C93">
        <v>48</v>
      </c>
      <c r="D93" s="17">
        <v>10</v>
      </c>
      <c r="E93" s="17">
        <f t="shared" si="1"/>
        <v>480</v>
      </c>
      <c r="F93" s="17">
        <f>C93*G93</f>
        <v>288</v>
      </c>
      <c r="G93" s="17">
        <v>6</v>
      </c>
      <c r="H93" s="3">
        <v>0.04</v>
      </c>
      <c r="I93" s="20">
        <f>E93-F93</f>
        <v>192</v>
      </c>
      <c r="J93" s="21">
        <f>I93/E93</f>
        <v>0.4</v>
      </c>
      <c r="K93" s="19">
        <f>E93-A93</f>
        <v>388</v>
      </c>
    </row>
    <row r="94" spans="1:11" x14ac:dyDescent="0.35">
      <c r="A94">
        <v>93</v>
      </c>
      <c r="B94" t="s">
        <v>34</v>
      </c>
      <c r="C94">
        <v>75</v>
      </c>
      <c r="D94" s="17">
        <v>10</v>
      </c>
      <c r="E94" s="17">
        <f t="shared" si="1"/>
        <v>750</v>
      </c>
      <c r="F94" s="17">
        <f>C94*G94</f>
        <v>450</v>
      </c>
      <c r="G94" s="17">
        <v>6</v>
      </c>
      <c r="H94" s="3">
        <v>0.12</v>
      </c>
      <c r="I94" s="20">
        <f>E94-F94</f>
        <v>300</v>
      </c>
      <c r="J94" s="21">
        <f>I94/E94</f>
        <v>0.4</v>
      </c>
      <c r="K94" s="19">
        <f>E94-A94</f>
        <v>657</v>
      </c>
    </row>
    <row r="95" spans="1:11" x14ac:dyDescent="0.35">
      <c r="A95">
        <v>94</v>
      </c>
      <c r="B95" t="s">
        <v>34</v>
      </c>
      <c r="C95">
        <v>29</v>
      </c>
      <c r="D95" s="17">
        <v>10</v>
      </c>
      <c r="E95" s="17">
        <f t="shared" si="1"/>
        <v>290</v>
      </c>
      <c r="F95" s="17">
        <f>C95*G95</f>
        <v>174</v>
      </c>
      <c r="G95" s="17">
        <v>6</v>
      </c>
      <c r="H95" s="4">
        <v>7.4999999999999997E-2</v>
      </c>
      <c r="I95" s="20">
        <f>E95-F95</f>
        <v>116</v>
      </c>
      <c r="J95" s="21">
        <f>I95/E95</f>
        <v>0.4</v>
      </c>
      <c r="K95" s="19">
        <f>E95-A95</f>
        <v>196</v>
      </c>
    </row>
    <row r="96" spans="1:11" x14ac:dyDescent="0.35">
      <c r="A96">
        <v>95</v>
      </c>
      <c r="B96" t="s">
        <v>34</v>
      </c>
      <c r="C96">
        <v>87</v>
      </c>
      <c r="D96" s="17">
        <v>10</v>
      </c>
      <c r="E96" s="17">
        <f t="shared" si="1"/>
        <v>870</v>
      </c>
      <c r="F96" s="17">
        <f>C96*G96</f>
        <v>522</v>
      </c>
      <c r="G96" s="17">
        <v>6</v>
      </c>
      <c r="H96" s="3">
        <v>7.0000000000000007E-2</v>
      </c>
      <c r="I96" s="20">
        <f>E96-F96</f>
        <v>348</v>
      </c>
      <c r="J96" s="21">
        <f>I96/E96</f>
        <v>0.4</v>
      </c>
      <c r="K96" s="19">
        <f>E96-A96</f>
        <v>775</v>
      </c>
    </row>
    <row r="97" spans="1:11" x14ac:dyDescent="0.35">
      <c r="A97">
        <v>96</v>
      </c>
      <c r="B97" t="s">
        <v>35</v>
      </c>
      <c r="C97">
        <v>131</v>
      </c>
      <c r="D97" s="17">
        <v>10</v>
      </c>
      <c r="E97" s="17">
        <f t="shared" si="1"/>
        <v>1310</v>
      </c>
      <c r="F97" s="17">
        <f>C97*G97</f>
        <v>786</v>
      </c>
      <c r="G97" s="17">
        <v>6</v>
      </c>
      <c r="H97" s="3">
        <v>0.1</v>
      </c>
      <c r="I97" s="20">
        <f>E97-F97</f>
        <v>524</v>
      </c>
      <c r="J97" s="21">
        <f>I97/E97</f>
        <v>0.4</v>
      </c>
      <c r="K97" s="19">
        <f>E97-A97</f>
        <v>1214</v>
      </c>
    </row>
    <row r="98" spans="1:11" x14ac:dyDescent="0.35">
      <c r="A98">
        <v>97</v>
      </c>
      <c r="B98" t="s">
        <v>35</v>
      </c>
      <c r="C98">
        <v>104</v>
      </c>
      <c r="D98" s="17">
        <v>10</v>
      </c>
      <c r="E98" s="17">
        <f t="shared" si="1"/>
        <v>1040</v>
      </c>
      <c r="F98" s="17">
        <f>C98*G98</f>
        <v>624</v>
      </c>
      <c r="G98" s="17">
        <v>6</v>
      </c>
      <c r="H98" s="3">
        <v>7.0000000000000007E-2</v>
      </c>
      <c r="I98" s="20">
        <f>E98-F98</f>
        <v>416</v>
      </c>
      <c r="J98" s="21">
        <f>I98/E98</f>
        <v>0.4</v>
      </c>
      <c r="K98" s="19">
        <f>E98-A98</f>
        <v>943</v>
      </c>
    </row>
    <row r="99" spans="1:11" x14ac:dyDescent="0.35">
      <c r="A99">
        <v>98</v>
      </c>
      <c r="B99" t="s">
        <v>34</v>
      </c>
      <c r="C99">
        <v>27</v>
      </c>
      <c r="D99" s="17">
        <v>10</v>
      </c>
      <c r="E99" s="17">
        <f t="shared" si="1"/>
        <v>270</v>
      </c>
      <c r="F99" s="17">
        <f>C99*G99</f>
        <v>162</v>
      </c>
      <c r="G99" s="17">
        <v>6</v>
      </c>
      <c r="H99" s="3">
        <v>0.1</v>
      </c>
      <c r="I99" s="20">
        <f>E99-F99</f>
        <v>108</v>
      </c>
      <c r="J99" s="21">
        <f>I99/E99</f>
        <v>0.4</v>
      </c>
      <c r="K99" s="19">
        <f>E99-A99</f>
        <v>172</v>
      </c>
    </row>
    <row r="100" spans="1:11" x14ac:dyDescent="0.35">
      <c r="A100">
        <v>99</v>
      </c>
      <c r="B100" t="s">
        <v>33</v>
      </c>
      <c r="C100">
        <v>40</v>
      </c>
      <c r="D100" s="17">
        <v>10</v>
      </c>
      <c r="E100" s="17">
        <f t="shared" si="1"/>
        <v>400</v>
      </c>
      <c r="F100" s="17">
        <f>C100*G100</f>
        <v>240</v>
      </c>
      <c r="G100" s="17">
        <v>6</v>
      </c>
      <c r="H100" s="3">
        <v>0.02</v>
      </c>
      <c r="I100" s="20">
        <f>E100-F100</f>
        <v>160</v>
      </c>
      <c r="J100" s="21">
        <f>I100/E100</f>
        <v>0.4</v>
      </c>
      <c r="K100" s="19">
        <f>E100-A100</f>
        <v>301</v>
      </c>
    </row>
    <row r="101" spans="1:11" x14ac:dyDescent="0.35">
      <c r="A101">
        <v>100</v>
      </c>
      <c r="B101" t="s">
        <v>33</v>
      </c>
      <c r="C101">
        <v>81</v>
      </c>
      <c r="D101" s="17">
        <v>10</v>
      </c>
      <c r="E101" s="17">
        <f t="shared" si="1"/>
        <v>810</v>
      </c>
      <c r="F101" s="17">
        <f>C101*G101</f>
        <v>486</v>
      </c>
      <c r="G101" s="17">
        <v>6</v>
      </c>
      <c r="H101" s="3">
        <v>0.09</v>
      </c>
      <c r="I101" s="20">
        <f>E101-F101</f>
        <v>324</v>
      </c>
      <c r="J101" s="21">
        <f>I101/E101</f>
        <v>0.4</v>
      </c>
      <c r="K101" s="19">
        <f>E101-A101</f>
        <v>710</v>
      </c>
    </row>
    <row r="102" spans="1:11" x14ac:dyDescent="0.35">
      <c r="A102">
        <v>101</v>
      </c>
      <c r="B102" t="s">
        <v>35</v>
      </c>
      <c r="C102">
        <v>100</v>
      </c>
      <c r="D102" s="17">
        <v>10</v>
      </c>
      <c r="E102" s="17">
        <f t="shared" si="1"/>
        <v>1000</v>
      </c>
      <c r="F102" s="17">
        <f>C102*G102</f>
        <v>600</v>
      </c>
      <c r="G102" s="17">
        <v>6</v>
      </c>
      <c r="H102" s="3">
        <v>0.09</v>
      </c>
      <c r="I102" s="20">
        <f>E102-F102</f>
        <v>400</v>
      </c>
      <c r="J102" s="21">
        <f>I102/E102</f>
        <v>0.4</v>
      </c>
      <c r="K102" s="19">
        <f>E102-A102</f>
        <v>899</v>
      </c>
    </row>
    <row r="103" spans="1:11" x14ac:dyDescent="0.35">
      <c r="A103">
        <v>102</v>
      </c>
      <c r="B103" t="s">
        <v>35</v>
      </c>
      <c r="C103">
        <v>67</v>
      </c>
      <c r="D103" s="17">
        <v>10</v>
      </c>
      <c r="E103" s="17">
        <f t="shared" si="1"/>
        <v>670</v>
      </c>
      <c r="F103" s="17">
        <f>C103*G103</f>
        <v>402</v>
      </c>
      <c r="G103" s="17">
        <v>6</v>
      </c>
      <c r="H103" s="3">
        <v>0.04</v>
      </c>
      <c r="I103" s="20">
        <f>E103-F103</f>
        <v>268</v>
      </c>
      <c r="J103" s="21">
        <f>I103/E103</f>
        <v>0.4</v>
      </c>
      <c r="K103" s="19">
        <f>E103-A103</f>
        <v>568</v>
      </c>
    </row>
    <row r="104" spans="1:11" x14ac:dyDescent="0.35">
      <c r="A104">
        <v>103</v>
      </c>
      <c r="B104" t="s">
        <v>34</v>
      </c>
      <c r="C104">
        <v>204</v>
      </c>
      <c r="D104" s="17">
        <v>16</v>
      </c>
      <c r="E104" s="17">
        <f t="shared" si="1"/>
        <v>3264</v>
      </c>
      <c r="F104" s="17">
        <f>C104*G104</f>
        <v>1020</v>
      </c>
      <c r="G104" s="17">
        <v>5</v>
      </c>
      <c r="H104" s="3">
        <v>7.0000000000000007E-2</v>
      </c>
      <c r="I104" s="20">
        <f>E104-F104</f>
        <v>2244</v>
      </c>
      <c r="J104" s="21">
        <f>I104/E104</f>
        <v>0.6875</v>
      </c>
      <c r="K104" s="19">
        <f>E104-A104</f>
        <v>3161</v>
      </c>
    </row>
    <row r="105" spans="1:11" x14ac:dyDescent="0.35">
      <c r="A105">
        <v>104</v>
      </c>
      <c r="B105" t="s">
        <v>35</v>
      </c>
      <c r="C105">
        <v>162</v>
      </c>
      <c r="D105" s="17">
        <v>16</v>
      </c>
      <c r="E105" s="17">
        <f t="shared" si="1"/>
        <v>2592</v>
      </c>
      <c r="F105" s="17">
        <f>C105*G105</f>
        <v>810</v>
      </c>
      <c r="G105" s="17">
        <v>5</v>
      </c>
      <c r="H105" s="3">
        <v>0.03</v>
      </c>
      <c r="I105" s="20">
        <f>E105-F105</f>
        <v>1782</v>
      </c>
      <c r="J105" s="21">
        <f>I105/E105</f>
        <v>0.6875</v>
      </c>
      <c r="K105" s="19">
        <f>E105-A105</f>
        <v>2488</v>
      </c>
    </row>
    <row r="106" spans="1:11" x14ac:dyDescent="0.35">
      <c r="A106">
        <v>105</v>
      </c>
      <c r="B106" t="s">
        <v>35</v>
      </c>
      <c r="C106">
        <v>247</v>
      </c>
      <c r="D106" s="17">
        <v>16</v>
      </c>
      <c r="E106" s="17">
        <f t="shared" si="1"/>
        <v>3952</v>
      </c>
      <c r="F106" s="17">
        <f>C106*G106</f>
        <v>1235</v>
      </c>
      <c r="G106" s="17">
        <v>5</v>
      </c>
      <c r="H106" s="3">
        <v>0.1</v>
      </c>
      <c r="I106" s="20">
        <f>E106-F106</f>
        <v>2717</v>
      </c>
      <c r="J106" s="21">
        <f>I106/E106</f>
        <v>0.6875</v>
      </c>
      <c r="K106" s="19">
        <f>E106-A106</f>
        <v>3847</v>
      </c>
    </row>
    <row r="107" spans="1:11" x14ac:dyDescent="0.35">
      <c r="A107">
        <v>106</v>
      </c>
      <c r="B107" t="s">
        <v>34</v>
      </c>
      <c r="C107">
        <v>87</v>
      </c>
      <c r="D107" s="17">
        <v>16</v>
      </c>
      <c r="E107" s="17">
        <f t="shared" si="1"/>
        <v>1392</v>
      </c>
      <c r="F107" s="17">
        <f>C107*G107</f>
        <v>435</v>
      </c>
      <c r="G107" s="17">
        <v>5</v>
      </c>
      <c r="H107" s="3">
        <v>0.09</v>
      </c>
      <c r="I107" s="20">
        <f>E107-F107</f>
        <v>957</v>
      </c>
      <c r="J107" s="21">
        <f>I107/E107</f>
        <v>0.6875</v>
      </c>
      <c r="K107" s="19">
        <f>E107-A107</f>
        <v>1286</v>
      </c>
    </row>
    <row r="108" spans="1:11" x14ac:dyDescent="0.35">
      <c r="A108">
        <v>107</v>
      </c>
      <c r="B108" t="s">
        <v>33</v>
      </c>
      <c r="C108">
        <v>95</v>
      </c>
      <c r="D108" s="17">
        <v>16</v>
      </c>
      <c r="E108" s="17">
        <f t="shared" si="1"/>
        <v>1520</v>
      </c>
      <c r="F108" s="17">
        <f>C108*G108</f>
        <v>475</v>
      </c>
      <c r="G108" s="17">
        <v>5</v>
      </c>
      <c r="H108" s="3">
        <v>0.06</v>
      </c>
      <c r="I108" s="20">
        <f>E108-F108</f>
        <v>1045</v>
      </c>
      <c r="J108" s="21">
        <f>I108/E108</f>
        <v>0.6875</v>
      </c>
      <c r="K108" s="19">
        <f>E108-A108</f>
        <v>1413</v>
      </c>
    </row>
    <row r="109" spans="1:11" x14ac:dyDescent="0.35">
      <c r="A109">
        <v>108</v>
      </c>
      <c r="B109" t="s">
        <v>35</v>
      </c>
      <c r="C109">
        <v>64</v>
      </c>
      <c r="D109" s="17">
        <v>16</v>
      </c>
      <c r="E109" s="17">
        <f t="shared" si="1"/>
        <v>1024</v>
      </c>
      <c r="F109" s="17">
        <f>C109*G109</f>
        <v>320</v>
      </c>
      <c r="G109" s="17">
        <v>5</v>
      </c>
      <c r="H109" s="3">
        <v>0.12</v>
      </c>
      <c r="I109" s="20">
        <f>E109-F109</f>
        <v>704</v>
      </c>
      <c r="J109" s="21">
        <f>I109/E109</f>
        <v>0.6875</v>
      </c>
      <c r="K109" s="19">
        <f>E109-A109</f>
        <v>916</v>
      </c>
    </row>
    <row r="110" spans="1:11" x14ac:dyDescent="0.35">
      <c r="A110">
        <v>109</v>
      </c>
      <c r="B110" t="s">
        <v>34</v>
      </c>
      <c r="C110">
        <v>120</v>
      </c>
      <c r="D110" s="17">
        <v>16</v>
      </c>
      <c r="E110" s="17">
        <f t="shared" si="1"/>
        <v>1920</v>
      </c>
      <c r="F110" s="17">
        <f>C110*G110</f>
        <v>600</v>
      </c>
      <c r="G110" s="17">
        <v>5</v>
      </c>
      <c r="H110" s="3">
        <v>0.04</v>
      </c>
      <c r="I110" s="20">
        <f>E110-F110</f>
        <v>1320</v>
      </c>
      <c r="J110" s="21">
        <f>I110/E110</f>
        <v>0.6875</v>
      </c>
      <c r="K110" s="19">
        <f>E110-A110</f>
        <v>1811</v>
      </c>
    </row>
    <row r="111" spans="1:11" x14ac:dyDescent="0.35">
      <c r="A111">
        <v>110</v>
      </c>
      <c r="B111" t="s">
        <v>35</v>
      </c>
      <c r="C111">
        <v>104</v>
      </c>
      <c r="D111" s="17">
        <v>16</v>
      </c>
      <c r="E111" s="17">
        <f t="shared" si="1"/>
        <v>1664</v>
      </c>
      <c r="F111" s="17">
        <f>C111*G111</f>
        <v>520</v>
      </c>
      <c r="G111" s="17">
        <v>5</v>
      </c>
      <c r="H111" s="4">
        <v>7.4999999999999997E-2</v>
      </c>
      <c r="I111" s="20">
        <f>E111-F111</f>
        <v>1144</v>
      </c>
      <c r="J111" s="21">
        <f>I111/E111</f>
        <v>0.6875</v>
      </c>
      <c r="K111" s="19">
        <f>E111-A111</f>
        <v>1554</v>
      </c>
    </row>
    <row r="112" spans="1:11" x14ac:dyDescent="0.35">
      <c r="A112">
        <v>111</v>
      </c>
      <c r="B112" t="s">
        <v>33</v>
      </c>
      <c r="C112">
        <v>94</v>
      </c>
      <c r="D112" s="17">
        <v>16</v>
      </c>
      <c r="E112" s="17">
        <f t="shared" si="1"/>
        <v>1504</v>
      </c>
      <c r="F112" s="17">
        <f>C112*G112</f>
        <v>470</v>
      </c>
      <c r="G112" s="17">
        <v>5</v>
      </c>
      <c r="H112" s="3">
        <v>0.09</v>
      </c>
      <c r="I112" s="20">
        <f>E112-F112</f>
        <v>1034</v>
      </c>
      <c r="J112" s="21">
        <f>I112/E112</f>
        <v>0.6875</v>
      </c>
      <c r="K112" s="19">
        <f>E112-A112</f>
        <v>1393</v>
      </c>
    </row>
    <row r="113" spans="1:11" x14ac:dyDescent="0.35">
      <c r="A113">
        <v>112</v>
      </c>
      <c r="B113" t="s">
        <v>33</v>
      </c>
      <c r="C113">
        <v>67</v>
      </c>
      <c r="D113" s="17">
        <v>16</v>
      </c>
      <c r="E113" s="17">
        <f t="shared" si="1"/>
        <v>1072</v>
      </c>
      <c r="F113" s="17">
        <f>C113*G113</f>
        <v>335</v>
      </c>
      <c r="G113" s="17">
        <v>5</v>
      </c>
      <c r="H113" s="3">
        <v>0.09</v>
      </c>
      <c r="I113" s="20">
        <f>E113-F113</f>
        <v>737</v>
      </c>
      <c r="J113" s="21">
        <f>I113/E113</f>
        <v>0.6875</v>
      </c>
      <c r="K113" s="19">
        <f>E113-A113</f>
        <v>960</v>
      </c>
    </row>
    <row r="114" spans="1:11" x14ac:dyDescent="0.35">
      <c r="A114">
        <v>113</v>
      </c>
      <c r="B114" t="s">
        <v>35</v>
      </c>
      <c r="C114">
        <v>115</v>
      </c>
      <c r="D114" s="17">
        <v>18</v>
      </c>
      <c r="E114" s="17">
        <f t="shared" si="1"/>
        <v>2070</v>
      </c>
      <c r="F114" s="17">
        <f>C114*G114</f>
        <v>1380</v>
      </c>
      <c r="G114" s="17">
        <v>12</v>
      </c>
      <c r="H114" s="3">
        <v>0.09</v>
      </c>
      <c r="I114" s="20">
        <f>E114-F114</f>
        <v>690</v>
      </c>
      <c r="J114" s="21">
        <f>I114/E114</f>
        <v>0.33333333333333331</v>
      </c>
      <c r="K114" s="19">
        <f>E114-A114</f>
        <v>1957</v>
      </c>
    </row>
    <row r="115" spans="1:11" x14ac:dyDescent="0.35">
      <c r="A115">
        <v>114</v>
      </c>
      <c r="B115" t="s">
        <v>34</v>
      </c>
      <c r="C115">
        <v>34</v>
      </c>
      <c r="D115" s="17">
        <v>18</v>
      </c>
      <c r="E115" s="17">
        <f t="shared" si="1"/>
        <v>612</v>
      </c>
      <c r="F115" s="17">
        <f>C115*G115</f>
        <v>408</v>
      </c>
      <c r="G115" s="17">
        <v>12</v>
      </c>
      <c r="H115" s="3">
        <v>0.06</v>
      </c>
      <c r="I115" s="20">
        <f>E115-F115</f>
        <v>204</v>
      </c>
      <c r="J115" s="21">
        <f>I115/E115</f>
        <v>0.33333333333333331</v>
      </c>
      <c r="K115" s="19">
        <f>E115-A115</f>
        <v>498</v>
      </c>
    </row>
    <row r="116" spans="1:11" x14ac:dyDescent="0.35">
      <c r="A116">
        <v>115</v>
      </c>
      <c r="B116" t="s">
        <v>35</v>
      </c>
      <c r="C116">
        <v>19</v>
      </c>
      <c r="D116" s="17">
        <v>18</v>
      </c>
      <c r="E116" s="17">
        <f t="shared" si="1"/>
        <v>342</v>
      </c>
      <c r="F116" s="17">
        <f>C116*G116</f>
        <v>228</v>
      </c>
      <c r="G116" s="17">
        <v>12</v>
      </c>
      <c r="H116" s="4">
        <v>7.4999999999999997E-2</v>
      </c>
      <c r="I116" s="20">
        <f>E116-F116</f>
        <v>114</v>
      </c>
      <c r="J116" s="21">
        <f>I116/E116</f>
        <v>0.33333333333333331</v>
      </c>
      <c r="K116" s="19">
        <f>E116-A116</f>
        <v>227</v>
      </c>
    </row>
    <row r="117" spans="1:11" x14ac:dyDescent="0.35">
      <c r="A117">
        <v>116</v>
      </c>
      <c r="B117" t="s">
        <v>33</v>
      </c>
      <c r="C117">
        <v>24</v>
      </c>
      <c r="D117" s="17">
        <v>18</v>
      </c>
      <c r="E117" s="17">
        <f t="shared" si="1"/>
        <v>432</v>
      </c>
      <c r="F117" s="17">
        <f>C117*G117</f>
        <v>288</v>
      </c>
      <c r="G117" s="17">
        <v>12</v>
      </c>
      <c r="H117" s="3">
        <v>0.04</v>
      </c>
      <c r="I117" s="20">
        <f>E117-F117</f>
        <v>144</v>
      </c>
      <c r="J117" s="21">
        <f>I117/E117</f>
        <v>0.33333333333333331</v>
      </c>
      <c r="K117" s="19">
        <f>E117-A117</f>
        <v>316</v>
      </c>
    </row>
    <row r="118" spans="1:11" x14ac:dyDescent="0.35">
      <c r="A118">
        <v>117</v>
      </c>
      <c r="B118" t="s">
        <v>34</v>
      </c>
      <c r="C118">
        <v>22</v>
      </c>
      <c r="D118" s="17">
        <v>18</v>
      </c>
      <c r="E118" s="17">
        <f t="shared" si="1"/>
        <v>396</v>
      </c>
      <c r="F118" s="17">
        <f>C118*G118</f>
        <v>264</v>
      </c>
      <c r="G118" s="17">
        <v>12</v>
      </c>
      <c r="H118" s="3">
        <v>0.12</v>
      </c>
      <c r="I118" s="20">
        <f>E118-F118</f>
        <v>132</v>
      </c>
      <c r="J118" s="21">
        <f>I118/E118</f>
        <v>0.33333333333333331</v>
      </c>
      <c r="K118" s="19">
        <f>E118-A118</f>
        <v>279</v>
      </c>
    </row>
    <row r="119" spans="1:11" x14ac:dyDescent="0.35">
      <c r="A119">
        <v>118</v>
      </c>
      <c r="B119" t="s">
        <v>33</v>
      </c>
      <c r="C119">
        <v>64</v>
      </c>
      <c r="D119" s="17">
        <v>18</v>
      </c>
      <c r="E119" s="17">
        <f t="shared" si="1"/>
        <v>1152</v>
      </c>
      <c r="F119" s="17">
        <f>C119*G119</f>
        <v>768</v>
      </c>
      <c r="G119" s="17">
        <v>12</v>
      </c>
      <c r="H119" s="3">
        <v>0.1</v>
      </c>
      <c r="I119" s="20">
        <f>E119-F119</f>
        <v>384</v>
      </c>
      <c r="J119" s="21">
        <f>I119/E119</f>
        <v>0.33333333333333331</v>
      </c>
      <c r="K119" s="19">
        <f>E119-A119</f>
        <v>1034</v>
      </c>
    </row>
    <row r="120" spans="1:11" x14ac:dyDescent="0.35">
      <c r="A120">
        <v>119</v>
      </c>
      <c r="B120" t="s">
        <v>33</v>
      </c>
      <c r="C120">
        <v>51</v>
      </c>
      <c r="D120" s="17">
        <v>18</v>
      </c>
      <c r="E120" s="17">
        <f t="shared" si="1"/>
        <v>918</v>
      </c>
      <c r="F120" s="17">
        <f>C120*G120</f>
        <v>612</v>
      </c>
      <c r="G120" s="17">
        <v>12</v>
      </c>
      <c r="H120" s="3">
        <v>0.05</v>
      </c>
      <c r="I120" s="20">
        <f>E120-F120</f>
        <v>306</v>
      </c>
      <c r="J120" s="21">
        <f>I120/E120</f>
        <v>0.33333333333333331</v>
      </c>
      <c r="K120" s="19">
        <f>E120-A120</f>
        <v>799</v>
      </c>
    </row>
    <row r="121" spans="1:11" x14ac:dyDescent="0.35">
      <c r="A121">
        <v>120</v>
      </c>
      <c r="B121" t="s">
        <v>34</v>
      </c>
      <c r="C121" s="22">
        <v>62</v>
      </c>
      <c r="D121" s="23">
        <v>18</v>
      </c>
      <c r="E121" s="23">
        <f t="shared" si="1"/>
        <v>1116</v>
      </c>
      <c r="F121" s="17">
        <f>C121*G121</f>
        <v>744</v>
      </c>
      <c r="G121" s="17">
        <v>12</v>
      </c>
      <c r="H121" s="3">
        <v>0.08</v>
      </c>
      <c r="I121" s="20">
        <f>E121-F121</f>
        <v>372</v>
      </c>
      <c r="J121" s="21">
        <f>I121/E121</f>
        <v>0.33333333333333331</v>
      </c>
      <c r="K121" s="19">
        <f>E121-A121</f>
        <v>996</v>
      </c>
    </row>
  </sheetData>
  <dataValidations count="2">
    <dataValidation type="whole" allowBlank="1" showInputMessage="1" showErrorMessage="1" sqref="A1:A1048576" xr:uid="{FA10B75E-3CCA-4E42-8256-809CA5140433}">
      <formula1>0</formula1>
      <formula2>99999999999999900000</formula2>
    </dataValidation>
    <dataValidation type="whole" allowBlank="1" showInputMessage="1" showErrorMessage="1" sqref="D1:D1048576" xr:uid="{F6670F69-021E-4CAC-8FEF-C05E9D0FCD81}">
      <formula1>0</formula1>
      <formula2>9999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5164-5C7F-423C-9CF6-2AB04D4FBF6D}">
  <dimension ref="A1:I116"/>
  <sheetViews>
    <sheetView workbookViewId="0">
      <selection activeCell="B32" sqref="B32"/>
    </sheetView>
  </sheetViews>
  <sheetFormatPr baseColWidth="10" defaultRowHeight="14.5" x14ac:dyDescent="0.35"/>
  <cols>
    <col min="2" max="2" width="21.6328125" bestFit="1" customWidth="1"/>
    <col min="3" max="3" width="36.6328125" bestFit="1" customWidth="1"/>
    <col min="4" max="4" width="20.1796875" bestFit="1" customWidth="1"/>
    <col min="5" max="5" width="25.453125" bestFit="1" customWidth="1"/>
    <col min="6" max="6" width="27.6328125" bestFit="1" customWidth="1"/>
    <col min="7" max="7" width="24.54296875" bestFit="1" customWidth="1"/>
    <col min="8" max="8" width="27.54296875" bestFit="1" customWidth="1"/>
    <col min="9" max="9" width="36.90625" bestFit="1" customWidth="1"/>
  </cols>
  <sheetData>
    <row r="1" spans="1:9" ht="25" customHeight="1" x14ac:dyDescent="0.35">
      <c r="A1" s="51"/>
      <c r="B1" s="52" t="s">
        <v>67</v>
      </c>
      <c r="C1" s="52" t="s">
        <v>68</v>
      </c>
      <c r="D1" s="52" t="s">
        <v>69</v>
      </c>
      <c r="E1" s="52" t="s">
        <v>70</v>
      </c>
      <c r="F1" s="52" t="s">
        <v>71</v>
      </c>
      <c r="G1" s="52" t="s">
        <v>72</v>
      </c>
      <c r="H1" s="52" t="s">
        <v>73</v>
      </c>
      <c r="I1" s="53" t="s">
        <v>74</v>
      </c>
    </row>
    <row r="2" spans="1:9" x14ac:dyDescent="0.35">
      <c r="A2" s="43" t="s">
        <v>30</v>
      </c>
      <c r="B2" s="34">
        <v>34</v>
      </c>
      <c r="C2" s="35">
        <v>14</v>
      </c>
      <c r="D2" s="35">
        <v>14</v>
      </c>
      <c r="E2" s="35">
        <v>14</v>
      </c>
      <c r="F2" s="36">
        <v>14</v>
      </c>
      <c r="G2" s="35">
        <v>14</v>
      </c>
      <c r="H2" s="37">
        <v>14</v>
      </c>
      <c r="I2" s="54">
        <v>14</v>
      </c>
    </row>
    <row r="3" spans="1:9" x14ac:dyDescent="0.35">
      <c r="A3" s="43" t="s">
        <v>31</v>
      </c>
      <c r="B3" s="34">
        <v>27</v>
      </c>
      <c r="C3" s="35">
        <v>27</v>
      </c>
      <c r="D3" s="35">
        <v>27</v>
      </c>
      <c r="E3" s="35">
        <v>27</v>
      </c>
      <c r="F3" s="38">
        <v>27</v>
      </c>
      <c r="G3" s="35">
        <v>27</v>
      </c>
      <c r="H3" s="37">
        <v>27</v>
      </c>
      <c r="I3" s="54">
        <v>27</v>
      </c>
    </row>
    <row r="4" spans="1:9" x14ac:dyDescent="0.35">
      <c r="A4" s="43" t="s">
        <v>32</v>
      </c>
      <c r="B4" s="34">
        <v>16</v>
      </c>
      <c r="C4" s="37">
        <v>34</v>
      </c>
      <c r="D4" s="35">
        <v>34</v>
      </c>
      <c r="E4" s="37">
        <v>34</v>
      </c>
      <c r="F4" s="36">
        <v>34</v>
      </c>
      <c r="G4" s="35">
        <v>34</v>
      </c>
      <c r="H4" s="37">
        <v>34</v>
      </c>
      <c r="I4" s="54">
        <v>34</v>
      </c>
    </row>
    <row r="5" spans="1:9" x14ac:dyDescent="0.35">
      <c r="A5" s="43" t="s">
        <v>29</v>
      </c>
      <c r="B5" s="34">
        <v>14</v>
      </c>
      <c r="C5" s="35">
        <v>2</v>
      </c>
      <c r="D5" s="35">
        <v>2</v>
      </c>
      <c r="E5" s="35">
        <v>2</v>
      </c>
      <c r="F5" s="36">
        <v>2</v>
      </c>
      <c r="G5" s="35">
        <v>2</v>
      </c>
      <c r="H5" s="37">
        <v>2</v>
      </c>
      <c r="I5" s="54">
        <v>2</v>
      </c>
    </row>
    <row r="6" spans="1:9" x14ac:dyDescent="0.35">
      <c r="A6" s="43" t="s">
        <v>34</v>
      </c>
      <c r="B6" s="34">
        <v>14</v>
      </c>
      <c r="C6" s="35">
        <v>14</v>
      </c>
      <c r="D6" s="35">
        <v>14</v>
      </c>
      <c r="E6" s="35">
        <v>14</v>
      </c>
      <c r="F6" s="38">
        <v>14</v>
      </c>
      <c r="G6" s="35">
        <v>14</v>
      </c>
      <c r="H6" s="37">
        <v>14</v>
      </c>
      <c r="I6" s="54">
        <v>14</v>
      </c>
    </row>
    <row r="7" spans="1:9" x14ac:dyDescent="0.35">
      <c r="A7" s="43" t="s">
        <v>33</v>
      </c>
      <c r="B7" s="34">
        <v>13</v>
      </c>
      <c r="C7" s="35">
        <v>13</v>
      </c>
      <c r="D7" s="35">
        <v>13</v>
      </c>
      <c r="E7" s="35">
        <v>13</v>
      </c>
      <c r="F7" s="38">
        <v>13</v>
      </c>
      <c r="G7" s="35">
        <v>13</v>
      </c>
      <c r="H7" s="37">
        <v>13</v>
      </c>
      <c r="I7" s="54">
        <v>13</v>
      </c>
    </row>
    <row r="8" spans="1:9" ht="15" thickBot="1" x14ac:dyDescent="0.4">
      <c r="A8" s="45" t="s">
        <v>35</v>
      </c>
      <c r="B8" s="55">
        <v>2</v>
      </c>
      <c r="C8" s="56">
        <v>16</v>
      </c>
      <c r="D8" s="56">
        <v>16</v>
      </c>
      <c r="E8" s="56">
        <v>16</v>
      </c>
      <c r="F8" s="57">
        <v>16</v>
      </c>
      <c r="G8" s="56">
        <v>16</v>
      </c>
      <c r="H8" s="58">
        <v>16</v>
      </c>
      <c r="I8" s="59">
        <v>16</v>
      </c>
    </row>
    <row r="11" spans="1:9" ht="15" thickBot="1" x14ac:dyDescent="0.4"/>
    <row r="12" spans="1:9" ht="15" thickBot="1" x14ac:dyDescent="0.4">
      <c r="A12" s="47"/>
      <c r="B12" s="48" t="s">
        <v>65</v>
      </c>
    </row>
    <row r="13" spans="1:9" x14ac:dyDescent="0.35">
      <c r="A13" s="43" t="s">
        <v>60</v>
      </c>
      <c r="B13" s="49">
        <v>61</v>
      </c>
      <c r="D13" s="41"/>
      <c r="E13" s="42" t="s">
        <v>41</v>
      </c>
      <c r="F13" s="39"/>
    </row>
    <row r="14" spans="1:9" x14ac:dyDescent="0.35">
      <c r="A14" s="43" t="s">
        <v>61</v>
      </c>
      <c r="B14" s="49">
        <v>22</v>
      </c>
      <c r="D14" s="43" t="s">
        <v>57</v>
      </c>
      <c r="E14" s="44">
        <v>16</v>
      </c>
      <c r="F14" s="40"/>
    </row>
    <row r="15" spans="1:9" x14ac:dyDescent="0.35">
      <c r="A15" s="43" t="s">
        <v>4</v>
      </c>
      <c r="B15" s="49">
        <v>20</v>
      </c>
      <c r="D15" s="43" t="s">
        <v>58</v>
      </c>
      <c r="E15" s="44">
        <v>11</v>
      </c>
      <c r="F15" s="40"/>
    </row>
    <row r="16" spans="1:9" x14ac:dyDescent="0.35">
      <c r="A16" s="43" t="s">
        <v>62</v>
      </c>
      <c r="B16" s="49">
        <v>10</v>
      </c>
      <c r="D16" s="43" t="s">
        <v>56</v>
      </c>
      <c r="E16" s="44">
        <v>10</v>
      </c>
      <c r="F16" s="40"/>
    </row>
    <row r="17" spans="1:6" ht="15" thickBot="1" x14ac:dyDescent="0.4">
      <c r="A17" s="45" t="s">
        <v>63</v>
      </c>
      <c r="B17" s="50">
        <v>7</v>
      </c>
      <c r="D17" s="43" t="s">
        <v>0</v>
      </c>
      <c r="E17" s="44">
        <v>10</v>
      </c>
      <c r="F17" s="40"/>
    </row>
    <row r="18" spans="1:6" x14ac:dyDescent="0.35">
      <c r="B18" s="2"/>
      <c r="D18" s="43" t="s">
        <v>1</v>
      </c>
      <c r="E18" s="44">
        <v>10</v>
      </c>
      <c r="F18" s="40"/>
    </row>
    <row r="19" spans="1:6" x14ac:dyDescent="0.35">
      <c r="B19" s="2"/>
      <c r="D19" s="43" t="s">
        <v>2</v>
      </c>
      <c r="E19" s="44">
        <v>8</v>
      </c>
      <c r="F19" s="40"/>
    </row>
    <row r="20" spans="1:6" x14ac:dyDescent="0.35">
      <c r="B20" s="2"/>
      <c r="D20" s="43" t="s">
        <v>3</v>
      </c>
      <c r="E20" s="44">
        <v>7</v>
      </c>
      <c r="F20" s="40"/>
    </row>
    <row r="21" spans="1:6" x14ac:dyDescent="0.35">
      <c r="B21" s="2"/>
      <c r="D21" s="43" t="s">
        <v>55</v>
      </c>
      <c r="E21" s="44">
        <v>6</v>
      </c>
      <c r="F21" s="40"/>
    </row>
    <row r="22" spans="1:6" x14ac:dyDescent="0.35">
      <c r="B22" s="2"/>
      <c r="D22" s="43" t="s">
        <v>54</v>
      </c>
      <c r="E22" s="44">
        <v>6</v>
      </c>
      <c r="F22" s="40"/>
    </row>
    <row r="23" spans="1:6" x14ac:dyDescent="0.35">
      <c r="B23" s="2"/>
      <c r="D23" s="43" t="s">
        <v>53</v>
      </c>
      <c r="E23" s="44">
        <v>6</v>
      </c>
      <c r="F23" s="40"/>
    </row>
    <row r="24" spans="1:6" x14ac:dyDescent="0.35">
      <c r="B24" s="2"/>
      <c r="D24" s="43" t="s">
        <v>52</v>
      </c>
      <c r="E24" s="44">
        <v>6</v>
      </c>
      <c r="F24" s="40"/>
    </row>
    <row r="25" spans="1:6" x14ac:dyDescent="0.35">
      <c r="B25" s="2"/>
      <c r="D25" s="43" t="s">
        <v>51</v>
      </c>
      <c r="E25" s="44">
        <v>5</v>
      </c>
      <c r="F25" s="40"/>
    </row>
    <row r="26" spans="1:6" x14ac:dyDescent="0.35">
      <c r="B26" s="2"/>
      <c r="D26" s="43" t="s">
        <v>50</v>
      </c>
      <c r="E26" s="44">
        <v>5</v>
      </c>
      <c r="F26" s="40"/>
    </row>
    <row r="27" spans="1:6" x14ac:dyDescent="0.35">
      <c r="B27" s="2"/>
      <c r="D27" s="43" t="s">
        <v>49</v>
      </c>
      <c r="E27" s="44">
        <v>5</v>
      </c>
      <c r="F27" s="40"/>
    </row>
    <row r="28" spans="1:6" x14ac:dyDescent="0.35">
      <c r="B28" s="2"/>
      <c r="D28" s="43" t="s">
        <v>28</v>
      </c>
      <c r="E28" s="44">
        <v>5</v>
      </c>
      <c r="F28" s="40"/>
    </row>
    <row r="29" spans="1:6" ht="15" thickBot="1" x14ac:dyDescent="0.4">
      <c r="B29" s="2"/>
      <c r="D29" s="45" t="s">
        <v>59</v>
      </c>
      <c r="E29" s="46">
        <v>4</v>
      </c>
      <c r="F29" s="40"/>
    </row>
    <row r="30" spans="1:6" x14ac:dyDescent="0.35">
      <c r="B30" s="2"/>
    </row>
    <row r="31" spans="1:6" x14ac:dyDescent="0.35">
      <c r="B31" s="2"/>
    </row>
    <row r="32" spans="1:6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  <row r="58" spans="2:2" x14ac:dyDescent="0.35">
      <c r="B58" s="2"/>
    </row>
    <row r="59" spans="2:2" x14ac:dyDescent="0.35">
      <c r="B59" s="2"/>
    </row>
    <row r="60" spans="2:2" x14ac:dyDescent="0.35">
      <c r="B60" s="2"/>
    </row>
    <row r="61" spans="2:2" x14ac:dyDescent="0.35">
      <c r="B61" s="2"/>
    </row>
    <row r="62" spans="2:2" x14ac:dyDescent="0.35">
      <c r="B62" s="2"/>
    </row>
    <row r="63" spans="2:2" x14ac:dyDescent="0.35">
      <c r="B63" s="2"/>
    </row>
    <row r="64" spans="2:2" x14ac:dyDescent="0.35">
      <c r="B64" s="2"/>
    </row>
    <row r="65" spans="2:2" x14ac:dyDescent="0.35">
      <c r="B65" s="2"/>
    </row>
    <row r="66" spans="2:2" x14ac:dyDescent="0.35">
      <c r="B66" s="2"/>
    </row>
    <row r="67" spans="2:2" x14ac:dyDescent="0.35">
      <c r="B67" s="2"/>
    </row>
    <row r="68" spans="2:2" x14ac:dyDescent="0.35">
      <c r="B68" s="2"/>
    </row>
    <row r="69" spans="2:2" x14ac:dyDescent="0.35">
      <c r="B69" s="2"/>
    </row>
    <row r="70" spans="2:2" x14ac:dyDescent="0.35">
      <c r="B70" s="2"/>
    </row>
    <row r="71" spans="2:2" x14ac:dyDescent="0.35">
      <c r="B71" s="2"/>
    </row>
    <row r="72" spans="2:2" x14ac:dyDescent="0.35">
      <c r="B72" s="2"/>
    </row>
    <row r="73" spans="2:2" x14ac:dyDescent="0.35">
      <c r="B73" s="2"/>
    </row>
    <row r="74" spans="2:2" x14ac:dyDescent="0.35">
      <c r="B74" s="2"/>
    </row>
    <row r="75" spans="2:2" x14ac:dyDescent="0.35">
      <c r="B75" s="2"/>
    </row>
    <row r="76" spans="2:2" x14ac:dyDescent="0.35">
      <c r="B76" s="2"/>
    </row>
    <row r="77" spans="2:2" x14ac:dyDescent="0.35">
      <c r="B77" s="2"/>
    </row>
    <row r="78" spans="2:2" x14ac:dyDescent="0.35">
      <c r="B78" s="2"/>
    </row>
    <row r="79" spans="2:2" x14ac:dyDescent="0.35">
      <c r="B79" s="2"/>
    </row>
    <row r="80" spans="2:2" x14ac:dyDescent="0.35">
      <c r="B80" s="2"/>
    </row>
    <row r="81" spans="2:2" x14ac:dyDescent="0.35">
      <c r="B81" s="2"/>
    </row>
    <row r="82" spans="2:2" x14ac:dyDescent="0.35">
      <c r="B82" s="2"/>
    </row>
    <row r="83" spans="2:2" x14ac:dyDescent="0.35">
      <c r="B83" s="2"/>
    </row>
    <row r="84" spans="2:2" x14ac:dyDescent="0.35">
      <c r="B84" s="2"/>
    </row>
    <row r="85" spans="2:2" x14ac:dyDescent="0.35">
      <c r="B85" s="2"/>
    </row>
    <row r="86" spans="2:2" x14ac:dyDescent="0.35">
      <c r="B86" s="2"/>
    </row>
    <row r="87" spans="2:2" x14ac:dyDescent="0.35">
      <c r="B87" s="2"/>
    </row>
    <row r="88" spans="2:2" x14ac:dyDescent="0.35">
      <c r="B88" s="2"/>
    </row>
    <row r="89" spans="2:2" x14ac:dyDescent="0.35">
      <c r="B89" s="2"/>
    </row>
    <row r="90" spans="2:2" x14ac:dyDescent="0.35">
      <c r="B90" s="2"/>
    </row>
    <row r="91" spans="2:2" x14ac:dyDescent="0.35">
      <c r="B91" s="2"/>
    </row>
    <row r="92" spans="2:2" x14ac:dyDescent="0.35">
      <c r="B92" s="2"/>
    </row>
    <row r="93" spans="2:2" x14ac:dyDescent="0.35">
      <c r="B93" s="2"/>
    </row>
    <row r="94" spans="2:2" x14ac:dyDescent="0.35">
      <c r="B94" s="2"/>
    </row>
    <row r="95" spans="2:2" x14ac:dyDescent="0.35">
      <c r="B95" s="2"/>
    </row>
    <row r="96" spans="2:2" x14ac:dyDescent="0.35">
      <c r="B96" s="2"/>
    </row>
    <row r="97" spans="2:2" x14ac:dyDescent="0.35">
      <c r="B97" s="2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  <row r="101" spans="2:2" x14ac:dyDescent="0.35">
      <c r="B101" s="2"/>
    </row>
    <row r="102" spans="2:2" x14ac:dyDescent="0.35">
      <c r="B102" s="2"/>
    </row>
    <row r="103" spans="2:2" x14ac:dyDescent="0.35">
      <c r="B103" s="2"/>
    </row>
    <row r="104" spans="2:2" x14ac:dyDescent="0.35">
      <c r="B104" s="2"/>
    </row>
    <row r="105" spans="2:2" x14ac:dyDescent="0.35">
      <c r="B105" s="2"/>
    </row>
    <row r="106" spans="2:2" x14ac:dyDescent="0.35">
      <c r="B106" s="2"/>
    </row>
    <row r="107" spans="2:2" x14ac:dyDescent="0.35">
      <c r="B107" s="2"/>
    </row>
    <row r="108" spans="2:2" x14ac:dyDescent="0.35">
      <c r="B108" s="2"/>
    </row>
    <row r="109" spans="2:2" x14ac:dyDescent="0.35">
      <c r="B109" s="2"/>
    </row>
    <row r="110" spans="2:2" x14ac:dyDescent="0.35">
      <c r="B110" s="2"/>
    </row>
    <row r="111" spans="2:2" x14ac:dyDescent="0.35">
      <c r="B111" s="2"/>
    </row>
    <row r="112" spans="2:2" x14ac:dyDescent="0.35">
      <c r="B112" s="2"/>
    </row>
    <row r="113" spans="2:2" x14ac:dyDescent="0.35">
      <c r="B113" s="2"/>
    </row>
    <row r="114" spans="2:2" x14ac:dyDescent="0.35">
      <c r="B114" s="2"/>
    </row>
    <row r="115" spans="2:2" x14ac:dyDescent="0.35">
      <c r="B115" s="2"/>
    </row>
    <row r="116" spans="2:2" x14ac:dyDescent="0.35">
      <c r="B116" s="2"/>
    </row>
  </sheetData>
  <sortState xmlns:xlrd2="http://schemas.microsoft.com/office/spreadsheetml/2017/richdata2" ref="E14:E29">
    <sortCondition descending="1" ref="E14:E29"/>
  </sortState>
  <dataConsolidate function="count" leftLabels="1" topLabels="1">
    <dataRefs count="1">
      <dataRef ref="B1:C121" sheet="client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F3B3-74EE-49AC-A428-F13D2391B82A}">
  <dimension ref="A1"/>
  <sheetViews>
    <sheetView workbookViewId="0">
      <selection activeCell="L25" sqref="L25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produts</vt:lpstr>
      <vt:lpstr>client</vt:lpstr>
      <vt:lpstr>sales</vt:lpstr>
      <vt:lpstr>report</vt:lpstr>
      <vt:lpstr>graphics</vt:lpstr>
      <vt:lpstr>produts!Área_de_impresión</vt:lpstr>
      <vt:lpstr>produts!Títulos_a_imprimir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carolina farina</cp:lastModifiedBy>
  <cp:lastPrinted>2023-06-20T23:11:43Z</cp:lastPrinted>
  <dcterms:created xsi:type="dcterms:W3CDTF">2023-06-11T19:49:48Z</dcterms:created>
  <dcterms:modified xsi:type="dcterms:W3CDTF">2023-11-26T23:28:21Z</dcterms:modified>
</cp:coreProperties>
</file>